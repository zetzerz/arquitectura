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sus\OneDrive\Escritorio\Pagos\"/>
    </mc:Choice>
  </mc:AlternateContent>
  <xr:revisionPtr revIDLastSave="0" documentId="13_ncr:1_{88D2B4DE-04D0-4966-B3CD-A4CEEC3C96C5}" xr6:coauthVersionLast="46" xr6:coauthVersionMax="46" xr10:uidLastSave="{00000000-0000-0000-0000-000000000000}"/>
  <bookViews>
    <workbookView xWindow="-120" yWindow="-120" windowWidth="20730" windowHeight="11160" firstSheet="2" activeTab="2" xr2:uid="{00000000-000D-0000-FFFF-FFFF00000000}"/>
  </bookViews>
  <sheets>
    <sheet name="PANEL" sheetId="1" r:id="rId1"/>
    <sheet name="ANTE PROYECTO" sheetId="5" r:id="rId2"/>
    <sheet name="CAMBIO USO SUELO,ACANTHA" sheetId="2" r:id="rId3"/>
    <sheet name="CAMBIO USO SUELO,ADARA" sheetId="6" r:id="rId4"/>
    <sheet name="HOTEL-LA HAYCA" sheetId="3" r:id="rId5"/>
    <sheet name="MEMO" sheetId="7" r:id="rId6"/>
  </sheets>
  <definedNames>
    <definedName name="_xlnm.Print_Area" localSheetId="1">'ANTE PROYECTO'!$A$1:$M$48</definedName>
    <definedName name="_xlnm.Print_Area" localSheetId="2">'CAMBIO USO SUELO,ACANTHA'!$A$1:$G$676</definedName>
    <definedName name="_xlnm.Print_Area" localSheetId="3">'CAMBIO USO SUELO,ADARA'!$A$1:$L$8</definedName>
    <definedName name="_xlnm.Print_Area" localSheetId="4">'HOTEL-LA HAYCA'!$A$1:$J$6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21" i="2" l="1"/>
  <c r="F620" i="2"/>
  <c r="F619" i="2"/>
  <c r="F618" i="2"/>
  <c r="F617" i="2"/>
  <c r="F616" i="2"/>
  <c r="F615" i="2"/>
  <c r="F614" i="2"/>
  <c r="F613" i="2"/>
  <c r="F612" i="2"/>
  <c r="F611" i="2"/>
  <c r="F610" i="2"/>
  <c r="F609" i="2"/>
  <c r="F608" i="2"/>
  <c r="F607" i="2"/>
  <c r="F606" i="2"/>
  <c r="F605" i="2"/>
  <c r="F604" i="2"/>
  <c r="F603" i="2"/>
  <c r="F602" i="2"/>
  <c r="F601" i="2"/>
  <c r="C675" i="2"/>
  <c r="F674" i="2"/>
  <c r="F673" i="2"/>
  <c r="F672" i="2"/>
  <c r="F671" i="2"/>
  <c r="F670" i="2"/>
  <c r="F669" i="2"/>
  <c r="F668" i="2"/>
  <c r="F667" i="2"/>
  <c r="F666" i="2"/>
  <c r="F665" i="2"/>
  <c r="F664" i="2"/>
  <c r="F663" i="2"/>
  <c r="F662" i="2"/>
  <c r="F661" i="2"/>
  <c r="F660" i="2"/>
  <c r="F659" i="2"/>
  <c r="F658" i="2"/>
  <c r="F657" i="2"/>
  <c r="F656" i="2"/>
  <c r="F655" i="2"/>
  <c r="C649" i="2"/>
  <c r="F648" i="2"/>
  <c r="F647" i="2"/>
  <c r="F646" i="2"/>
  <c r="F645" i="2"/>
  <c r="F644" i="2"/>
  <c r="F643" i="2"/>
  <c r="F642" i="2"/>
  <c r="F641" i="2"/>
  <c r="F640" i="2"/>
  <c r="F639" i="2"/>
  <c r="F638" i="2"/>
  <c r="F637" i="2"/>
  <c r="F636" i="2"/>
  <c r="F635" i="2"/>
  <c r="F634" i="2"/>
  <c r="F633" i="2"/>
  <c r="F632" i="2"/>
  <c r="F631" i="2"/>
  <c r="F630" i="2"/>
  <c r="F629" i="2"/>
  <c r="F675" i="2" l="1"/>
  <c r="F621" i="2"/>
  <c r="F622" i="2" s="1"/>
  <c r="F649" i="2"/>
  <c r="F650" i="2" s="1"/>
  <c r="F676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75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489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18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46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61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32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04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75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39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11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283" i="2"/>
  <c r="F264" i="2"/>
  <c r="F265" i="2"/>
  <c r="F266" i="2"/>
  <c r="F267" i="2"/>
  <c r="F268" i="2"/>
  <c r="F269" i="2"/>
  <c r="F270" i="2"/>
  <c r="F271" i="2"/>
  <c r="F272" i="2"/>
  <c r="F273" i="2"/>
  <c r="F263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31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02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74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45" i="2"/>
  <c r="F126" i="2"/>
  <c r="F127" i="2"/>
  <c r="F128" i="2"/>
  <c r="F129" i="2"/>
  <c r="F130" i="2"/>
  <c r="F131" i="2"/>
  <c r="F132" i="2"/>
  <c r="F133" i="2"/>
  <c r="F134" i="2"/>
  <c r="F135" i="2"/>
  <c r="F136" i="2"/>
  <c r="F118" i="2"/>
  <c r="F119" i="2"/>
  <c r="F120" i="2"/>
  <c r="F121" i="2"/>
  <c r="F122" i="2"/>
  <c r="F123" i="2"/>
  <c r="F124" i="2"/>
  <c r="F125" i="2"/>
  <c r="F117" i="2"/>
  <c r="F303" i="2" l="1"/>
  <c r="F331" i="2"/>
  <c r="F452" i="2"/>
  <c r="F538" i="2"/>
  <c r="F509" i="2"/>
  <c r="F274" i="2"/>
  <c r="F137" i="2"/>
  <c r="F255" i="2"/>
  <c r="F595" i="2"/>
  <c r="F194" i="2"/>
  <c r="F222" i="2"/>
  <c r="F369" i="2"/>
  <c r="F395" i="2"/>
  <c r="F424" i="2"/>
  <c r="F165" i="2"/>
  <c r="F566" i="2"/>
  <c r="D48" i="5"/>
  <c r="K47" i="5"/>
  <c r="M47" i="5" s="1"/>
  <c r="K46" i="5"/>
  <c r="C8" i="6"/>
  <c r="K48" i="5" l="1"/>
  <c r="M46" i="5"/>
  <c r="D40" i="5"/>
  <c r="K39" i="5"/>
  <c r="M39" i="5" s="1"/>
  <c r="K38" i="5"/>
  <c r="K40" i="5" l="1"/>
  <c r="M38" i="5"/>
  <c r="F7" i="2"/>
  <c r="F89" i="2" l="1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88" i="2"/>
  <c r="F76" i="2"/>
  <c r="F77" i="2"/>
  <c r="F78" i="2"/>
  <c r="F79" i="2"/>
  <c r="F75" i="2"/>
  <c r="F66" i="2"/>
  <c r="F67" i="2"/>
  <c r="F68" i="2"/>
  <c r="F69" i="2"/>
  <c r="F70" i="2"/>
  <c r="F71" i="2"/>
  <c r="F72" i="2"/>
  <c r="F73" i="2"/>
  <c r="F74" i="2"/>
  <c r="F61" i="2"/>
  <c r="F62" i="2"/>
  <c r="F63" i="2"/>
  <c r="F64" i="2"/>
  <c r="F65" i="2"/>
  <c r="F60" i="2"/>
  <c r="F43" i="2"/>
  <c r="F44" i="2"/>
  <c r="F45" i="2"/>
  <c r="F46" i="2"/>
  <c r="F47" i="2"/>
  <c r="F48" i="2"/>
  <c r="F49" i="2"/>
  <c r="F50" i="2"/>
  <c r="F36" i="2"/>
  <c r="F37" i="2"/>
  <c r="F38" i="2"/>
  <c r="F39" i="2"/>
  <c r="F40" i="2"/>
  <c r="F41" i="2"/>
  <c r="F42" i="2"/>
  <c r="F35" i="2"/>
  <c r="F22" i="2"/>
  <c r="F23" i="2"/>
  <c r="F24" i="2"/>
  <c r="F25" i="2"/>
  <c r="F26" i="2"/>
  <c r="F21" i="2"/>
  <c r="F20" i="2"/>
  <c r="F12" i="2"/>
  <c r="F13" i="2"/>
  <c r="F14" i="2"/>
  <c r="F15" i="2"/>
  <c r="F16" i="2"/>
  <c r="F17" i="2"/>
  <c r="F18" i="2"/>
  <c r="F19" i="2"/>
  <c r="F11" i="2"/>
  <c r="F10" i="2"/>
  <c r="F9" i="2"/>
  <c r="F8" i="2"/>
  <c r="F80" i="2" l="1"/>
  <c r="F108" i="2"/>
  <c r="F51" i="2"/>
  <c r="F27" i="2"/>
  <c r="C27" i="2"/>
  <c r="C51" i="2"/>
  <c r="C80" i="2"/>
  <c r="C108" i="2"/>
  <c r="F109" i="2" s="1"/>
  <c r="C137" i="2"/>
  <c r="F138" i="2" s="1"/>
  <c r="C165" i="2"/>
  <c r="F166" i="2" s="1"/>
  <c r="C194" i="2"/>
  <c r="F195" i="2" s="1"/>
  <c r="C222" i="2"/>
  <c r="F223" i="2" s="1"/>
  <c r="C255" i="2"/>
  <c r="F256" i="2" s="1"/>
  <c r="C274" i="2"/>
  <c r="F275" i="2" s="1"/>
  <c r="C303" i="2"/>
  <c r="F304" i="2" s="1"/>
  <c r="C331" i="2"/>
  <c r="F332" i="2" s="1"/>
  <c r="C369" i="2"/>
  <c r="F370" i="2" s="1"/>
  <c r="C395" i="2"/>
  <c r="F396" i="2" s="1"/>
  <c r="C424" i="2"/>
  <c r="F425" i="2" s="1"/>
  <c r="C452" i="2"/>
  <c r="F453" i="2" s="1"/>
  <c r="C481" i="2"/>
  <c r="C509" i="2"/>
  <c r="F510" i="2" s="1"/>
  <c r="C538" i="2"/>
  <c r="F539" i="2" s="1"/>
  <c r="C566" i="2"/>
  <c r="F567" i="2" s="1"/>
  <c r="C595" i="2"/>
  <c r="F596" i="2" s="1"/>
  <c r="F81" i="2" l="1"/>
  <c r="F52" i="2"/>
  <c r="F28" i="2"/>
  <c r="J7" i="6"/>
  <c r="J6" i="6"/>
  <c r="J8" i="6" s="1"/>
  <c r="L7" i="6" l="1"/>
  <c r="L6" i="6"/>
  <c r="K30" i="5" l="1"/>
  <c r="K29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K6" i="5"/>
  <c r="K5" i="5"/>
  <c r="K4" i="5"/>
  <c r="D31" i="5" l="1"/>
  <c r="H6" i="3" l="1"/>
  <c r="H5" i="3"/>
  <c r="J5" i="3" s="1"/>
  <c r="J6" i="3" l="1"/>
  <c r="M10" i="5"/>
  <c r="M16" i="5" l="1"/>
  <c r="M25" i="5" l="1"/>
  <c r="M26" i="5"/>
  <c r="M27" i="5"/>
  <c r="K28" i="5"/>
  <c r="M28" i="5" s="1"/>
  <c r="M29" i="5"/>
  <c r="M30" i="5" l="1"/>
  <c r="M24" i="5"/>
  <c r="M23" i="5"/>
  <c r="M22" i="5"/>
  <c r="M21" i="5"/>
  <c r="M20" i="5"/>
  <c r="M19" i="5"/>
  <c r="M18" i="5"/>
  <c r="M17" i="5"/>
  <c r="M15" i="5"/>
  <c r="M14" i="5"/>
  <c r="M13" i="5"/>
  <c r="M12" i="5"/>
  <c r="M11" i="5"/>
  <c r="M9" i="5"/>
  <c r="M8" i="5"/>
  <c r="M7" i="5"/>
  <c r="M6" i="5"/>
  <c r="M5" i="5"/>
  <c r="M4" i="5"/>
  <c r="K31" i="5" l="1"/>
  <c r="D33" i="5" s="1"/>
</calcChain>
</file>

<file path=xl/sharedStrings.xml><?xml version="1.0" encoding="utf-8"?>
<sst xmlns="http://schemas.openxmlformats.org/spreadsheetml/2006/main" count="1327" uniqueCount="295">
  <si>
    <t>FECHA</t>
  </si>
  <si>
    <t>PERSONAS</t>
  </si>
  <si>
    <t>HONORARIO</t>
  </si>
  <si>
    <t>PAGO 1</t>
  </si>
  <si>
    <t>PAGO 2</t>
  </si>
  <si>
    <t>SALDO</t>
  </si>
  <si>
    <t>ESTADO</t>
  </si>
  <si>
    <t>Sitio 1</t>
  </si>
  <si>
    <t>Sitio 2</t>
  </si>
  <si>
    <t>Sitio 3</t>
  </si>
  <si>
    <t>Sitio 4</t>
  </si>
  <si>
    <t>Sitio 5</t>
  </si>
  <si>
    <t>Sitio 6</t>
  </si>
  <si>
    <t>Sitio 7</t>
  </si>
  <si>
    <t>Sitio 8</t>
  </si>
  <si>
    <t>Sitio 9</t>
  </si>
  <si>
    <t>Sitio 10</t>
  </si>
  <si>
    <t>Sitio 11</t>
  </si>
  <si>
    <t>Sitio 12</t>
  </si>
  <si>
    <t>Sitio 13</t>
  </si>
  <si>
    <t>Sitio 14</t>
  </si>
  <si>
    <t>Sitio 15</t>
  </si>
  <si>
    <t>Sitio 16</t>
  </si>
  <si>
    <t>Sitio 17</t>
  </si>
  <si>
    <t>Sitio 18</t>
  </si>
  <si>
    <t>Sitio 19</t>
  </si>
  <si>
    <t>Sitio 20</t>
  </si>
  <si>
    <t>LOTE</t>
  </si>
  <si>
    <t>NOMBRE</t>
  </si>
  <si>
    <t>N°PRESP</t>
  </si>
  <si>
    <t>SITIO</t>
  </si>
  <si>
    <t>PAGADO</t>
  </si>
  <si>
    <t>1° PAGO</t>
  </si>
  <si>
    <t>2°PAGO</t>
  </si>
  <si>
    <t>3°PAGO</t>
  </si>
  <si>
    <t>TOTAL</t>
  </si>
  <si>
    <t>Pamela Palma</t>
  </si>
  <si>
    <t>Sitio 21</t>
  </si>
  <si>
    <t>Sitio 22</t>
  </si>
  <si>
    <t>Sitio 26</t>
  </si>
  <si>
    <t>Sitio 27</t>
  </si>
  <si>
    <t>Sitio 29</t>
  </si>
  <si>
    <t>Sitio 28</t>
  </si>
  <si>
    <t>Sitio 30</t>
  </si>
  <si>
    <t>054/2018</t>
  </si>
  <si>
    <t>037/2018</t>
  </si>
  <si>
    <t>050/2018</t>
  </si>
  <si>
    <t>051/2018</t>
  </si>
  <si>
    <t>052/2018</t>
  </si>
  <si>
    <t>053/2018</t>
  </si>
  <si>
    <t>070/2018</t>
  </si>
  <si>
    <t>071/2018</t>
  </si>
  <si>
    <t>064/2018</t>
  </si>
  <si>
    <t>055/2018</t>
  </si>
  <si>
    <t>072/2018</t>
  </si>
  <si>
    <t>073/2018</t>
  </si>
  <si>
    <t>103/2019</t>
  </si>
  <si>
    <t>057/2018</t>
  </si>
  <si>
    <t>056/2018</t>
  </si>
  <si>
    <t>058/2018</t>
  </si>
  <si>
    <t>102/2019</t>
  </si>
  <si>
    <t>104/2019</t>
  </si>
  <si>
    <t>105/2019</t>
  </si>
  <si>
    <t>059/2018</t>
  </si>
  <si>
    <t>060/2018</t>
  </si>
  <si>
    <t>061/2018</t>
  </si>
  <si>
    <t>025/2020</t>
  </si>
  <si>
    <t>063/2018</t>
  </si>
  <si>
    <t>031/2020</t>
  </si>
  <si>
    <t>032/2020</t>
  </si>
  <si>
    <t>N°LOTE</t>
  </si>
  <si>
    <t>N°PERSONA</t>
  </si>
  <si>
    <t>N°PRESP.</t>
  </si>
  <si>
    <t>Lote 25</t>
  </si>
  <si>
    <t>Sitio 23</t>
  </si>
  <si>
    <t>Sitio 25</t>
  </si>
  <si>
    <t>1 La Banda, Pica</t>
  </si>
  <si>
    <t>108/2018</t>
  </si>
  <si>
    <t xml:space="preserve">Miguel Salina </t>
  </si>
  <si>
    <t xml:space="preserve">Natalia Varas </t>
  </si>
  <si>
    <t>Isac Araya Castillo</t>
  </si>
  <si>
    <t>Edgar Reyes</t>
  </si>
  <si>
    <t>Michele Veras</t>
  </si>
  <si>
    <t xml:space="preserve">Patricio Ariagada </t>
  </si>
  <si>
    <t xml:space="preserve">Wilfredo Tirado </t>
  </si>
  <si>
    <t>Armin Cuevas</t>
  </si>
  <si>
    <t>Lote 1</t>
  </si>
  <si>
    <t>Lote 2</t>
  </si>
  <si>
    <t>Lote 3</t>
  </si>
  <si>
    <t>Lote 11</t>
  </si>
  <si>
    <t>Lote 12</t>
  </si>
  <si>
    <t>Lote 13</t>
  </si>
  <si>
    <t>Lote 17</t>
  </si>
  <si>
    <t>Lote 18</t>
  </si>
  <si>
    <t>Lote 19</t>
  </si>
  <si>
    <t>Lote 20</t>
  </si>
  <si>
    <t>Lote 21</t>
  </si>
  <si>
    <t>Lote 22</t>
  </si>
  <si>
    <t>Lote 26</t>
  </si>
  <si>
    <t>Lote 27</t>
  </si>
  <si>
    <t>Lote 28</t>
  </si>
  <si>
    <t>Lote 29</t>
  </si>
  <si>
    <t>Lote 30</t>
  </si>
  <si>
    <t>Lote 31</t>
  </si>
  <si>
    <t>Lote 32</t>
  </si>
  <si>
    <t>Lote 33</t>
  </si>
  <si>
    <t>Lote 34</t>
  </si>
  <si>
    <t>Lote 35</t>
  </si>
  <si>
    <t>Lote 36</t>
  </si>
  <si>
    <t>Lote 38</t>
  </si>
  <si>
    <t>Lote 39</t>
  </si>
  <si>
    <t>Lote 40</t>
  </si>
  <si>
    <t>2 La Banda, Pica</t>
  </si>
  <si>
    <t>122/2018</t>
  </si>
  <si>
    <t>Alvaro Oropessa</t>
  </si>
  <si>
    <t>Daniel Ramirez</t>
  </si>
  <si>
    <t>3 La Banda, Pica</t>
  </si>
  <si>
    <t>123/2018</t>
  </si>
  <si>
    <t>Maria Diaz Barraza</t>
  </si>
  <si>
    <t>Patricia Gonzalez</t>
  </si>
  <si>
    <t>11 La Banda, Pica</t>
  </si>
  <si>
    <t>124/2018</t>
  </si>
  <si>
    <t>12 La Banda, Pica</t>
  </si>
  <si>
    <t>125/2018</t>
  </si>
  <si>
    <t>Raul Fernando</t>
  </si>
  <si>
    <t>13 La Banda, Pica</t>
  </si>
  <si>
    <t xml:space="preserve">Carlos Miranda </t>
  </si>
  <si>
    <t xml:space="preserve">Andrea Perez </t>
  </si>
  <si>
    <t>17 La Banda, Pica</t>
  </si>
  <si>
    <t>127/2018</t>
  </si>
  <si>
    <t>Patricio Hormazabal</t>
  </si>
  <si>
    <t>Javier Cayo</t>
  </si>
  <si>
    <t>18 La Banda,Pica</t>
  </si>
  <si>
    <t>128/2018</t>
  </si>
  <si>
    <t>Martiza Contreras</t>
  </si>
  <si>
    <t>19 La Banda, Pica</t>
  </si>
  <si>
    <t>Sitio 24</t>
  </si>
  <si>
    <t>Adrian Farias</t>
  </si>
  <si>
    <t>129/2018</t>
  </si>
  <si>
    <t>20 La Banda, Pica</t>
  </si>
  <si>
    <t>130/2018</t>
  </si>
  <si>
    <t>21 La Banda,Pica</t>
  </si>
  <si>
    <t>131/2018</t>
  </si>
  <si>
    <t>22 La Banda, Pica</t>
  </si>
  <si>
    <t>132/2018</t>
  </si>
  <si>
    <t>26 La Banda, Pica</t>
  </si>
  <si>
    <t>030/2020</t>
  </si>
  <si>
    <t>27 La Banda, Pica</t>
  </si>
  <si>
    <t>005/2019</t>
  </si>
  <si>
    <t>Karin Morales</t>
  </si>
  <si>
    <t>Nancy Fuentes</t>
  </si>
  <si>
    <t>Danilo Gonzalez</t>
  </si>
  <si>
    <t>Sonia Barrios</t>
  </si>
  <si>
    <t>Sandra Toledo</t>
  </si>
  <si>
    <t>Diego Montivero</t>
  </si>
  <si>
    <t>Carolina Prieto</t>
  </si>
  <si>
    <t>Carmen Prieto</t>
  </si>
  <si>
    <t>28 La Banda, Pica</t>
  </si>
  <si>
    <t>106/2018</t>
  </si>
  <si>
    <t>29 La Banda, Pica</t>
  </si>
  <si>
    <t>107/2018</t>
  </si>
  <si>
    <t>30 La Banda, Pica</t>
  </si>
  <si>
    <t>027/2020</t>
  </si>
  <si>
    <t>31 La Banda, Pica</t>
  </si>
  <si>
    <t>028/2020</t>
  </si>
  <si>
    <t>32 La Banda, Pica</t>
  </si>
  <si>
    <t>026/2020</t>
  </si>
  <si>
    <t>Isabel Cayo</t>
  </si>
  <si>
    <t>Juan Gonzales</t>
  </si>
  <si>
    <t>33 La Banda, Pica</t>
  </si>
  <si>
    <t>006/2019</t>
  </si>
  <si>
    <t>Victor Salva</t>
  </si>
  <si>
    <t>34 La Banda, Pica</t>
  </si>
  <si>
    <t>007/2019</t>
  </si>
  <si>
    <t>Luz Maria Gomez</t>
  </si>
  <si>
    <t>PROYECTO</t>
  </si>
  <si>
    <t>N°PRSP</t>
  </si>
  <si>
    <t>N°PERSONAS</t>
  </si>
  <si>
    <t>TERRENO</t>
  </si>
  <si>
    <t>TOTAL LOTES</t>
  </si>
  <si>
    <t>TOTAL PAGADOS</t>
  </si>
  <si>
    <t>DIFERENCIA A PAGAR</t>
  </si>
  <si>
    <t>N° Lote</t>
  </si>
  <si>
    <t>TOTAL DEL LOTE</t>
  </si>
  <si>
    <t>TOTAL PAGADO</t>
  </si>
  <si>
    <t>CANCELADO EN</t>
  </si>
  <si>
    <t>SU TOTALIDAD</t>
  </si>
  <si>
    <t>065/2019</t>
  </si>
  <si>
    <t>La Huyca - Hotel</t>
  </si>
  <si>
    <t>PAGO TOTAL</t>
  </si>
  <si>
    <t>Cambio uso Suelo - La banda, Altos Pica</t>
  </si>
  <si>
    <t>Pagado falta comprob.</t>
  </si>
  <si>
    <t>Anteproyecto - Lote La Banda, Acantha Pica</t>
  </si>
  <si>
    <t>Anteproyecto - Adara La Banda, Pica</t>
  </si>
  <si>
    <t>Cambio uso Suelo - La banda, Acantha Pica</t>
  </si>
  <si>
    <t>Cambio uso suelo - La Banda, Adara Pica</t>
  </si>
  <si>
    <r>
      <t xml:space="preserve">012/20 </t>
    </r>
    <r>
      <rPr>
        <b/>
        <sz val="11"/>
        <color rgb="FFC00000"/>
        <rFont val="Calibri"/>
        <family val="2"/>
        <scheme val="minor"/>
      </rPr>
      <t>BYD</t>
    </r>
  </si>
  <si>
    <r>
      <rPr>
        <b/>
        <sz val="11"/>
        <color theme="1"/>
        <rFont val="Calibri"/>
        <family val="2"/>
        <scheme val="minor"/>
      </rPr>
      <t>009/20</t>
    </r>
    <r>
      <rPr>
        <b/>
        <sz val="11"/>
        <color rgb="FFC00000"/>
        <rFont val="Calibri"/>
        <family val="2"/>
        <scheme val="minor"/>
      </rPr>
      <t xml:space="preserve"> BYD</t>
    </r>
  </si>
  <si>
    <r>
      <rPr>
        <b/>
        <sz val="11"/>
        <color theme="1"/>
        <rFont val="Calibri"/>
        <family val="2"/>
        <scheme val="minor"/>
      </rPr>
      <t>010/20</t>
    </r>
    <r>
      <rPr>
        <b/>
        <sz val="11"/>
        <color rgb="FFC00000"/>
        <rFont val="Calibri"/>
        <family val="2"/>
        <scheme val="minor"/>
      </rPr>
      <t xml:space="preserve"> BYD</t>
    </r>
  </si>
  <si>
    <r>
      <t xml:space="preserve">008/20 </t>
    </r>
    <r>
      <rPr>
        <b/>
        <sz val="11"/>
        <color rgb="FFC00000"/>
        <rFont val="Calibri"/>
        <family val="2"/>
        <scheme val="minor"/>
      </rPr>
      <t>BYD</t>
    </r>
  </si>
  <si>
    <r>
      <t xml:space="preserve">007/20 </t>
    </r>
    <r>
      <rPr>
        <b/>
        <sz val="11"/>
        <color rgb="FFC00000"/>
        <rFont val="Calibri"/>
        <family val="2"/>
        <scheme val="minor"/>
      </rPr>
      <t>BYD</t>
    </r>
  </si>
  <si>
    <t>39 La Banda, Pica</t>
  </si>
  <si>
    <t>033/2020</t>
  </si>
  <si>
    <t>40 La Banda, Pica</t>
  </si>
  <si>
    <t>034/2020</t>
  </si>
  <si>
    <t>36 La Banda, Pica</t>
  </si>
  <si>
    <t>029/2020</t>
  </si>
  <si>
    <t>Nelida Vilches</t>
  </si>
  <si>
    <t>Elsa Ovalle</t>
  </si>
  <si>
    <r>
      <t>011/20</t>
    </r>
    <r>
      <rPr>
        <b/>
        <sz val="11"/>
        <color rgb="FFC00000"/>
        <rFont val="Calibri"/>
        <family val="2"/>
        <scheme val="minor"/>
      </rPr>
      <t xml:space="preserve"> BYD</t>
    </r>
  </si>
  <si>
    <t>PROY.</t>
  </si>
  <si>
    <t>Huayca</t>
  </si>
  <si>
    <t>Anteproyecto - la huayca</t>
  </si>
  <si>
    <t>Maritza Navarro</t>
  </si>
  <si>
    <t xml:space="preserve">Jacqueline Oteiza </t>
  </si>
  <si>
    <t>Romina Olate</t>
  </si>
  <si>
    <t>Jaqueline Oteiza</t>
  </si>
  <si>
    <t>Bertha Garay</t>
  </si>
  <si>
    <t>Jorge Zambrano</t>
  </si>
  <si>
    <t>Jasmin Alquinta</t>
  </si>
  <si>
    <t>Andres Sepulveda</t>
  </si>
  <si>
    <t>Sergio Aracena</t>
  </si>
  <si>
    <t>Nancy Orellana</t>
  </si>
  <si>
    <t>Maria Lincacura</t>
  </si>
  <si>
    <t xml:space="preserve">Carolina Fernandez </t>
  </si>
  <si>
    <t>Hilda Ester Vilchez</t>
  </si>
  <si>
    <t xml:space="preserve">Diego Donoso Vega </t>
  </si>
  <si>
    <t xml:space="preserve">Miguel Jose Tolmo </t>
  </si>
  <si>
    <t>Sara Rosa Pistela</t>
  </si>
  <si>
    <t>Mayckel Vasquez</t>
  </si>
  <si>
    <t xml:space="preserve">Alicia Aras </t>
  </si>
  <si>
    <t>Fany Leiva (Claudio)</t>
  </si>
  <si>
    <t>Felipe Silva</t>
  </si>
  <si>
    <t xml:space="preserve">Juan Pallero </t>
  </si>
  <si>
    <t>Luz Gomez (Javiera)</t>
  </si>
  <si>
    <t>Jocelyn Vilca</t>
  </si>
  <si>
    <t>Freddy Lopez</t>
  </si>
  <si>
    <t>Juan Coevas y Otro</t>
  </si>
  <si>
    <t>Nelson Garcia Monje</t>
  </si>
  <si>
    <t>Leonardo Ayala</t>
  </si>
  <si>
    <t>Gabriel Cayo</t>
  </si>
  <si>
    <t xml:space="preserve">Alicia Moscoso </t>
  </si>
  <si>
    <t>Elizabeth Vargas</t>
  </si>
  <si>
    <t>Juan Campos</t>
  </si>
  <si>
    <t>Katherine Castro</t>
  </si>
  <si>
    <t>Marta Oyarce</t>
  </si>
  <si>
    <t xml:space="preserve">Eva Maldonado </t>
  </si>
  <si>
    <t>Arturo Saavedra</t>
  </si>
  <si>
    <t>Rossana Caceres</t>
  </si>
  <si>
    <t xml:space="preserve">Samuel Cayo </t>
  </si>
  <si>
    <t>Ernesto Cordero</t>
  </si>
  <si>
    <t>Angelita Cañesque</t>
  </si>
  <si>
    <t xml:space="preserve">Jessica Alarcon </t>
  </si>
  <si>
    <t xml:space="preserve">Pamela Orrego </t>
  </si>
  <si>
    <t>Raul Flores</t>
  </si>
  <si>
    <t>Malku Vilca</t>
  </si>
  <si>
    <t>Luis Vasquez</t>
  </si>
  <si>
    <t xml:space="preserve">Ramon Donoso </t>
  </si>
  <si>
    <t>Ximena Fuentes</t>
  </si>
  <si>
    <t xml:space="preserve">Monica Alarcon </t>
  </si>
  <si>
    <t>Paulina Bello Marin</t>
  </si>
  <si>
    <t>teofilo Choque</t>
  </si>
  <si>
    <t>Rodrigo Figueros</t>
  </si>
  <si>
    <t xml:space="preserve">Alejandro Maldonado </t>
  </si>
  <si>
    <t>Elio Profumo</t>
  </si>
  <si>
    <t>Maria Caceres</t>
  </si>
  <si>
    <t xml:space="preserve">Jorge Zuñiga </t>
  </si>
  <si>
    <t>Sheyla Eade</t>
  </si>
  <si>
    <t>Ana Osses Reyes</t>
  </si>
  <si>
    <t xml:space="preserve">Julio Pinto </t>
  </si>
  <si>
    <t xml:space="preserve">Rosa Montecino </t>
  </si>
  <si>
    <t>Isabel Challapa</t>
  </si>
  <si>
    <t>Diego Carriel</t>
  </si>
  <si>
    <t>Tomas Choque Lampa</t>
  </si>
  <si>
    <t>Rosa Rodriguez</t>
  </si>
  <si>
    <t xml:space="preserve">Rosa Rodriguez </t>
  </si>
  <si>
    <t>Ida Perez Rivera</t>
  </si>
  <si>
    <t>Daniza Apala</t>
  </si>
  <si>
    <t xml:space="preserve">Ana Vegara </t>
  </si>
  <si>
    <t>Daniza Apala (Daniel)</t>
  </si>
  <si>
    <t>Jorge Solis</t>
  </si>
  <si>
    <t>Danilo Gonzales</t>
  </si>
  <si>
    <t>PANEL</t>
  </si>
  <si>
    <t>Marta Isabel Tapia</t>
  </si>
  <si>
    <t>lote 35</t>
  </si>
  <si>
    <t>008/2019</t>
  </si>
  <si>
    <t>lote 38</t>
  </si>
  <si>
    <t>010/2019</t>
  </si>
  <si>
    <t xml:space="preserve">Cambio Uso Suelo </t>
  </si>
  <si>
    <t>Pamela Palma (Huayca)</t>
  </si>
  <si>
    <t>Pamela Palma (Hotel)</t>
  </si>
  <si>
    <t>Recepcion Final</t>
  </si>
  <si>
    <t xml:space="preserve">Preguntar si estas bien honorario? </t>
  </si>
  <si>
    <t>126/2018</t>
  </si>
  <si>
    <t>074/2018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</si>
</sst>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$&quot;#,##0;[Red]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&quot;$&quot;#,##0"/>
    <numFmt numFmtId="167" formatCode="_-&quot;$&quot;\ * #,##0_-;\-&quot;$&quot;\ * #,##0_-;_-&quot;$&quot;\ * &quot;-&quot;??_-;_-@_-"/>
    <numFmt numFmtId="168" formatCode="_-* #,##0_-;\-* #,##0_-;_-* &quot;-&quot;??_-;_-@_-"/>
    <numFmt numFmtId="169" formatCode="dd/mm/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6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/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/>
      <top style="medium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medium">
        <color rgb="FFC00000"/>
      </right>
      <top style="thin">
        <color rgb="FFC00000"/>
      </top>
      <bottom/>
      <diagonal/>
    </border>
    <border>
      <left style="thin">
        <color rgb="FFC00000"/>
      </left>
      <right style="thin">
        <color rgb="FFC00000"/>
      </right>
      <top style="thin">
        <color rgb="FFC00000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/>
      <diagonal/>
    </border>
    <border>
      <left/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/>
      <top style="medium">
        <color theme="1"/>
      </top>
      <bottom/>
      <diagonal/>
    </border>
    <border>
      <left style="thin">
        <color theme="1"/>
      </left>
      <right/>
      <top style="medium">
        <color theme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rgb="FFC00000"/>
      </left>
      <right style="medium">
        <color rgb="FFC00000"/>
      </right>
      <top style="thin">
        <color rgb="FFC00000"/>
      </top>
      <bottom/>
      <diagonal/>
    </border>
    <border>
      <left style="medium">
        <color rgb="FFC00000"/>
      </left>
      <right style="medium">
        <color rgb="FFC00000"/>
      </right>
      <top style="thin">
        <color rgb="FFC00000"/>
      </top>
      <bottom style="medium">
        <color rgb="FFC00000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rgb="FFC00000"/>
      </left>
      <right style="medium">
        <color rgb="FFC00000"/>
      </right>
      <top/>
      <bottom style="thin">
        <color rgb="FFC00000"/>
      </bottom>
      <diagonal/>
    </border>
    <border>
      <left style="medium">
        <color rgb="FFC00000"/>
      </left>
      <right style="medium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/>
    <xf numFmtId="42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216">
    <xf numFmtId="0" fontId="0" fillId="0" borderId="0" xfId="0"/>
    <xf numFmtId="0" fontId="2" fillId="0" borderId="1" xfId="0" applyFont="1" applyBorder="1"/>
    <xf numFmtId="42" fontId="2" fillId="0" borderId="1" xfId="1" applyFont="1" applyBorder="1"/>
    <xf numFmtId="0" fontId="2" fillId="0" borderId="4" xfId="0" applyFont="1" applyBorder="1"/>
    <xf numFmtId="0" fontId="0" fillId="0" borderId="0" xfId="0" applyFont="1"/>
    <xf numFmtId="0" fontId="2" fillId="0" borderId="8" xfId="0" applyFont="1" applyBorder="1"/>
    <xf numFmtId="0" fontId="0" fillId="0" borderId="4" xfId="0" applyFont="1" applyBorder="1"/>
    <xf numFmtId="42" fontId="2" fillId="0" borderId="4" xfId="1" applyFont="1" applyBorder="1"/>
    <xf numFmtId="0" fontId="2" fillId="0" borderId="4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6" fillId="4" borderId="9" xfId="0" applyFont="1" applyFill="1" applyBorder="1" applyAlignment="1">
      <alignment horizontal="center"/>
    </xf>
    <xf numFmtId="6" fontId="8" fillId="2" borderId="4" xfId="0" applyNumberFormat="1" applyFont="1" applyFill="1" applyBorder="1"/>
    <xf numFmtId="0" fontId="7" fillId="2" borderId="4" xfId="0" applyFont="1" applyFill="1" applyBorder="1"/>
    <xf numFmtId="166" fontId="6" fillId="2" borderId="4" xfId="0" applyNumberFormat="1" applyFont="1" applyFill="1" applyBorder="1"/>
    <xf numFmtId="0" fontId="6" fillId="2" borderId="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2" fillId="4" borderId="14" xfId="0" applyFont="1" applyFill="1" applyBorder="1" applyAlignment="1">
      <alignment horizontal="center"/>
    </xf>
    <xf numFmtId="0" fontId="2" fillId="4" borderId="15" xfId="0" applyFont="1" applyFill="1" applyBorder="1" applyAlignment="1">
      <alignment horizontal="center"/>
    </xf>
    <xf numFmtId="0" fontId="2" fillId="4" borderId="16" xfId="0" applyFont="1" applyFill="1" applyBorder="1" applyAlignment="1">
      <alignment horizontal="center"/>
    </xf>
    <xf numFmtId="0" fontId="2" fillId="4" borderId="17" xfId="0" applyFont="1" applyFill="1" applyBorder="1" applyAlignment="1">
      <alignment horizontal="center"/>
    </xf>
    <xf numFmtId="0" fontId="2" fillId="0" borderId="0" xfId="0" applyFont="1" applyBorder="1"/>
    <xf numFmtId="42" fontId="2" fillId="0" borderId="0" xfId="1" applyFont="1" applyBorder="1"/>
    <xf numFmtId="6" fontId="5" fillId="0" borderId="0" xfId="0" applyNumberFormat="1" applyFont="1" applyBorder="1"/>
    <xf numFmtId="6" fontId="2" fillId="0" borderId="0" xfId="0" applyNumberFormat="1" applyFont="1" applyBorder="1"/>
    <xf numFmtId="6" fontId="2" fillId="0" borderId="0" xfId="0" applyNumberFormat="1" applyFont="1" applyBorder="1" applyAlignment="1">
      <alignment horizontal="center"/>
    </xf>
    <xf numFmtId="6" fontId="4" fillId="0" borderId="0" xfId="0" applyNumberFormat="1" applyFont="1" applyBorder="1"/>
    <xf numFmtId="0" fontId="0" fillId="0" borderId="8" xfId="0" applyFont="1" applyBorder="1"/>
    <xf numFmtId="167" fontId="2" fillId="0" borderId="19" xfId="2" applyNumberFormat="1" applyFont="1" applyBorder="1" applyAlignment="1">
      <alignment horizontal="center"/>
    </xf>
    <xf numFmtId="167" fontId="2" fillId="0" borderId="8" xfId="2" applyNumberFormat="1" applyFont="1" applyBorder="1" applyAlignment="1">
      <alignment horizontal="center"/>
    </xf>
    <xf numFmtId="167" fontId="5" fillId="0" borderId="8" xfId="2" applyNumberFormat="1" applyFont="1" applyBorder="1" applyAlignment="1">
      <alignment horizontal="center"/>
    </xf>
    <xf numFmtId="167" fontId="5" fillId="0" borderId="18" xfId="2" applyNumberFormat="1" applyFont="1" applyBorder="1" applyAlignment="1">
      <alignment horizontal="center"/>
    </xf>
    <xf numFmtId="167" fontId="2" fillId="0" borderId="0" xfId="2" applyNumberFormat="1" applyFont="1" applyAlignment="1">
      <alignment horizontal="center"/>
    </xf>
    <xf numFmtId="167" fontId="4" fillId="0" borderId="26" xfId="2" applyNumberFormat="1" applyFont="1" applyBorder="1" applyAlignment="1">
      <alignment horizontal="center"/>
    </xf>
    <xf numFmtId="167" fontId="2" fillId="0" borderId="20" xfId="2" applyNumberFormat="1" applyFont="1" applyBorder="1" applyAlignment="1">
      <alignment horizontal="center"/>
    </xf>
    <xf numFmtId="167" fontId="4" fillId="0" borderId="27" xfId="2" applyNumberFormat="1" applyFont="1" applyBorder="1" applyAlignment="1">
      <alignment horizontal="center"/>
    </xf>
    <xf numFmtId="167" fontId="2" fillId="0" borderId="22" xfId="2" applyNumberFormat="1" applyFont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6" fillId="0" borderId="8" xfId="0" quotePrefix="1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14" fontId="6" fillId="0" borderId="8" xfId="0" applyNumberFormat="1" applyFont="1" applyBorder="1" applyAlignment="1">
      <alignment horizontal="center"/>
    </xf>
    <xf numFmtId="0" fontId="6" fillId="2" borderId="4" xfId="0" applyFont="1" applyFill="1" applyBorder="1"/>
    <xf numFmtId="6" fontId="0" fillId="0" borderId="0" xfId="0" applyNumberFormat="1"/>
    <xf numFmtId="0" fontId="2" fillId="0" borderId="0" xfId="0" applyFont="1" applyBorder="1" applyAlignment="1">
      <alignment horizontal="center"/>
    </xf>
    <xf numFmtId="0" fontId="2" fillId="0" borderId="30" xfId="0" applyFont="1" applyBorder="1"/>
    <xf numFmtId="42" fontId="2" fillId="0" borderId="30" xfId="1" applyFont="1" applyBorder="1"/>
    <xf numFmtId="42" fontId="2" fillId="0" borderId="29" xfId="1" applyFont="1" applyBorder="1"/>
    <xf numFmtId="6" fontId="2" fillId="0" borderId="29" xfId="0" applyNumberFormat="1" applyFont="1" applyBorder="1"/>
    <xf numFmtId="6" fontId="9" fillId="0" borderId="0" xfId="0" applyNumberFormat="1" applyFont="1" applyBorder="1" applyAlignment="1">
      <alignment horizontal="center"/>
    </xf>
    <xf numFmtId="168" fontId="5" fillId="0" borderId="4" xfId="3" applyNumberFormat="1" applyFont="1" applyBorder="1"/>
    <xf numFmtId="168" fontId="5" fillId="0" borderId="2" xfId="3" applyNumberFormat="1" applyFont="1" applyBorder="1"/>
    <xf numFmtId="168" fontId="2" fillId="0" borderId="0" xfId="3" applyNumberFormat="1" applyFont="1"/>
    <xf numFmtId="168" fontId="5" fillId="0" borderId="1" xfId="3" applyNumberFormat="1" applyFont="1" applyBorder="1"/>
    <xf numFmtId="168" fontId="5" fillId="0" borderId="3" xfId="3" applyNumberFormat="1" applyFont="1" applyBorder="1"/>
    <xf numFmtId="168" fontId="2" fillId="0" borderId="10" xfId="3" applyNumberFormat="1" applyFont="1" applyBorder="1"/>
    <xf numFmtId="168" fontId="10" fillId="0" borderId="3" xfId="3" applyNumberFormat="1" applyFont="1" applyBorder="1"/>
    <xf numFmtId="168" fontId="10" fillId="0" borderId="1" xfId="3" applyNumberFormat="1" applyFont="1" applyBorder="1"/>
    <xf numFmtId="168" fontId="5" fillId="0" borderId="34" xfId="3" applyNumberFormat="1" applyFont="1" applyBorder="1"/>
    <xf numFmtId="168" fontId="2" fillId="0" borderId="33" xfId="3" applyNumberFormat="1" applyFont="1" applyBorder="1"/>
    <xf numFmtId="42" fontId="9" fillId="0" borderId="29" xfId="0" applyNumberFormat="1" applyFont="1" applyBorder="1"/>
    <xf numFmtId="0" fontId="2" fillId="4" borderId="37" xfId="0" applyFont="1" applyFill="1" applyBorder="1" applyAlignment="1">
      <alignment horizontal="center"/>
    </xf>
    <xf numFmtId="0" fontId="2" fillId="4" borderId="38" xfId="0" applyFont="1" applyFill="1" applyBorder="1" applyAlignment="1">
      <alignment horizontal="center"/>
    </xf>
    <xf numFmtId="0" fontId="2" fillId="4" borderId="39" xfId="0" applyFont="1" applyFill="1" applyBorder="1" applyAlignment="1">
      <alignment horizontal="center"/>
    </xf>
    <xf numFmtId="0" fontId="2" fillId="4" borderId="40" xfId="0" applyFont="1" applyFill="1" applyBorder="1" applyAlignment="1">
      <alignment horizontal="center"/>
    </xf>
    <xf numFmtId="0" fontId="2" fillId="4" borderId="41" xfId="0" applyFont="1" applyFill="1" applyBorder="1" applyAlignment="1">
      <alignment horizontal="center"/>
    </xf>
    <xf numFmtId="0" fontId="2" fillId="4" borderId="42" xfId="0" applyFont="1" applyFill="1" applyBorder="1" applyAlignment="1">
      <alignment horizontal="center"/>
    </xf>
    <xf numFmtId="167" fontId="2" fillId="0" borderId="11" xfId="2" applyNumberFormat="1" applyFont="1" applyBorder="1" applyAlignment="1">
      <alignment horizontal="center"/>
    </xf>
    <xf numFmtId="167" fontId="5" fillId="0" borderId="11" xfId="2" applyNumberFormat="1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4" fillId="0" borderId="11" xfId="0" applyFont="1" applyBorder="1"/>
    <xf numFmtId="167" fontId="2" fillId="0" borderId="21" xfId="2" applyNumberFormat="1" applyFont="1" applyBorder="1" applyAlignment="1">
      <alignment horizontal="center"/>
    </xf>
    <xf numFmtId="0" fontId="0" fillId="0" borderId="0" xfId="0" applyBorder="1"/>
    <xf numFmtId="0" fontId="2" fillId="0" borderId="8" xfId="0" applyFont="1" applyBorder="1" applyAlignment="1">
      <alignment horizontal="center"/>
    </xf>
    <xf numFmtId="169" fontId="0" fillId="0" borderId="0" xfId="0" applyNumberFormat="1"/>
    <xf numFmtId="169" fontId="2" fillId="4" borderId="15" xfId="0" applyNumberFormat="1" applyFont="1" applyFill="1" applyBorder="1" applyAlignment="1">
      <alignment horizontal="center"/>
    </xf>
    <xf numFmtId="169" fontId="0" fillId="0" borderId="4" xfId="0" applyNumberFormat="1" applyFont="1" applyBorder="1"/>
    <xf numFmtId="169" fontId="0" fillId="0" borderId="1" xfId="0" applyNumberFormat="1" applyFont="1" applyBorder="1"/>
    <xf numFmtId="169" fontId="5" fillId="0" borderId="2" xfId="0" applyNumberFormat="1" applyFont="1" applyBorder="1"/>
    <xf numFmtId="169" fontId="5" fillId="0" borderId="3" xfId="0" applyNumberFormat="1" applyFont="1" applyBorder="1"/>
    <xf numFmtId="169" fontId="2" fillId="4" borderId="16" xfId="0" applyNumberFormat="1" applyFont="1" applyFill="1" applyBorder="1" applyAlignment="1">
      <alignment horizontal="center"/>
    </xf>
    <xf numFmtId="169" fontId="5" fillId="0" borderId="0" xfId="0" applyNumberFormat="1" applyFont="1" applyBorder="1"/>
    <xf numFmtId="42" fontId="2" fillId="0" borderId="29" xfId="0" applyNumberFormat="1" applyFont="1" applyBorder="1"/>
    <xf numFmtId="169" fontId="5" fillId="0" borderId="28" xfId="0" applyNumberFormat="1" applyFont="1" applyBorder="1"/>
    <xf numFmtId="0" fontId="2" fillId="0" borderId="20" xfId="0" applyFont="1" applyBorder="1"/>
    <xf numFmtId="167" fontId="2" fillId="0" borderId="53" xfId="2" applyNumberFormat="1" applyFont="1" applyBorder="1" applyAlignment="1">
      <alignment horizontal="center"/>
    </xf>
    <xf numFmtId="167" fontId="4" fillId="0" borderId="54" xfId="2" applyNumberFormat="1" applyFont="1" applyBorder="1" applyAlignment="1">
      <alignment horizontal="center"/>
    </xf>
    <xf numFmtId="167" fontId="4" fillId="0" borderId="55" xfId="2" applyNumberFormat="1" applyFont="1" applyBorder="1" applyAlignment="1">
      <alignment horizontal="center"/>
    </xf>
    <xf numFmtId="0" fontId="4" fillId="0" borderId="25" xfId="0" applyFont="1" applyBorder="1"/>
    <xf numFmtId="0" fontId="2" fillId="0" borderId="25" xfId="0" applyFont="1" applyBorder="1" applyAlignment="1">
      <alignment horizontal="center"/>
    </xf>
    <xf numFmtId="167" fontId="2" fillId="0" borderId="25" xfId="2" applyNumberFormat="1" applyFont="1" applyBorder="1" applyAlignment="1">
      <alignment horizontal="center"/>
    </xf>
    <xf numFmtId="167" fontId="0" fillId="0" borderId="56" xfId="0" applyNumberFormat="1" applyBorder="1"/>
    <xf numFmtId="167" fontId="5" fillId="0" borderId="25" xfId="2" applyNumberFormat="1" applyFont="1" applyBorder="1" applyAlignment="1">
      <alignment horizontal="center"/>
    </xf>
    <xf numFmtId="6" fontId="5" fillId="6" borderId="32" xfId="0" applyNumberFormat="1" applyFont="1" applyFill="1" applyBorder="1"/>
    <xf numFmtId="42" fontId="2" fillId="6" borderId="31" xfId="1" applyFont="1" applyFill="1" applyBorder="1"/>
    <xf numFmtId="0" fontId="13" fillId="6" borderId="0" xfId="0" applyFont="1" applyFill="1"/>
    <xf numFmtId="0" fontId="12" fillId="6" borderId="0" xfId="0" applyFont="1" applyFill="1"/>
    <xf numFmtId="0" fontId="2" fillId="3" borderId="0" xfId="0" applyFont="1" applyFill="1" applyAlignment="1">
      <alignment horizontal="center"/>
    </xf>
    <xf numFmtId="0" fontId="7" fillId="0" borderId="0" xfId="0" applyFont="1"/>
    <xf numFmtId="0" fontId="6" fillId="0" borderId="0" xfId="0" applyFont="1"/>
    <xf numFmtId="0" fontId="6" fillId="0" borderId="0" xfId="0" applyFont="1" applyAlignment="1">
      <alignment horizontal="center"/>
    </xf>
    <xf numFmtId="0" fontId="6" fillId="6" borderId="5" xfId="0" applyFont="1" applyFill="1" applyBorder="1" applyAlignment="1">
      <alignment horizontal="center"/>
    </xf>
    <xf numFmtId="0" fontId="6" fillId="6" borderId="6" xfId="0" applyFont="1" applyFill="1" applyBorder="1" applyAlignment="1">
      <alignment horizontal="center"/>
    </xf>
    <xf numFmtId="0" fontId="6" fillId="6" borderId="7" xfId="0" applyFont="1" applyFill="1" applyBorder="1" applyAlignment="1">
      <alignment horizontal="center"/>
    </xf>
    <xf numFmtId="41" fontId="8" fillId="2" borderId="4" xfId="4" applyFont="1" applyFill="1" applyBorder="1"/>
    <xf numFmtId="0" fontId="6" fillId="2" borderId="4" xfId="0" applyFont="1" applyFill="1" applyBorder="1" applyAlignment="1">
      <alignment horizontal="center"/>
    </xf>
    <xf numFmtId="166" fontId="6" fillId="2" borderId="8" xfId="0" applyNumberFormat="1" applyFont="1" applyFill="1" applyBorder="1"/>
    <xf numFmtId="0" fontId="6" fillId="2" borderId="30" xfId="0" applyFont="1" applyFill="1" applyBorder="1" applyAlignment="1">
      <alignment horizontal="center"/>
    </xf>
    <xf numFmtId="166" fontId="6" fillId="0" borderId="29" xfId="0" applyNumberFormat="1" applyFont="1" applyBorder="1"/>
    <xf numFmtId="6" fontId="6" fillId="2" borderId="29" xfId="0" applyNumberFormat="1" applyFont="1" applyFill="1" applyBorder="1"/>
    <xf numFmtId="0" fontId="14" fillId="0" borderId="52" xfId="0" applyFont="1" applyBorder="1" applyAlignment="1">
      <alignment horizontal="center"/>
    </xf>
    <xf numFmtId="0" fontId="7" fillId="0" borderId="0" xfId="0" applyFont="1" applyBorder="1"/>
    <xf numFmtId="0" fontId="6" fillId="0" borderId="0" xfId="0" applyFont="1" applyBorder="1"/>
    <xf numFmtId="166" fontId="6" fillId="0" borderId="0" xfId="0" applyNumberFormat="1" applyFont="1" applyBorder="1"/>
    <xf numFmtId="166" fontId="6" fillId="2" borderId="51" xfId="0" applyNumberFormat="1" applyFont="1" applyFill="1" applyBorder="1"/>
    <xf numFmtId="0" fontId="14" fillId="0" borderId="51" xfId="0" applyFont="1" applyBorder="1" applyAlignment="1">
      <alignment horizontal="center"/>
    </xf>
    <xf numFmtId="0" fontId="6" fillId="6" borderId="5" xfId="0" applyFont="1" applyFill="1" applyBorder="1"/>
    <xf numFmtId="0" fontId="6" fillId="6" borderId="6" xfId="0" applyFont="1" applyFill="1" applyBorder="1"/>
    <xf numFmtId="0" fontId="6" fillId="6" borderId="7" xfId="0" applyFont="1" applyFill="1" applyBorder="1"/>
    <xf numFmtId="0" fontId="6" fillId="0" borderId="8" xfId="0" quotePrefix="1" applyFont="1" applyBorder="1"/>
    <xf numFmtId="0" fontId="6" fillId="0" borderId="8" xfId="0" applyFont="1" applyBorder="1" applyAlignment="1">
      <alignment horizontal="left"/>
    </xf>
    <xf numFmtId="0" fontId="6" fillId="0" borderId="8" xfId="0" applyFont="1" applyBorder="1" applyAlignment="1">
      <alignment horizontal="right"/>
    </xf>
    <xf numFmtId="14" fontId="6" fillId="0" borderId="8" xfId="0" applyNumberFormat="1" applyFont="1" applyBorder="1"/>
    <xf numFmtId="0" fontId="6" fillId="4" borderId="5" xfId="0" applyFont="1" applyFill="1" applyBorder="1"/>
    <xf numFmtId="0" fontId="6" fillId="4" borderId="6" xfId="0" applyFont="1" applyFill="1" applyBorder="1"/>
    <xf numFmtId="0" fontId="6" fillId="4" borderId="7" xfId="0" applyFont="1" applyFill="1" applyBorder="1"/>
    <xf numFmtId="0" fontId="6" fillId="0" borderId="8" xfId="0" applyFont="1" applyBorder="1"/>
    <xf numFmtId="0" fontId="6" fillId="6" borderId="9" xfId="0" applyFont="1" applyFill="1" applyBorder="1" applyAlignment="1">
      <alignment horizontal="center"/>
    </xf>
    <xf numFmtId="0" fontId="7" fillId="0" borderId="4" xfId="0" applyFont="1" applyBorder="1"/>
    <xf numFmtId="0" fontId="6" fillId="0" borderId="4" xfId="0" applyFont="1" applyBorder="1"/>
    <xf numFmtId="166" fontId="6" fillId="0" borderId="4" xfId="0" applyNumberFormat="1" applyFont="1" applyBorder="1"/>
    <xf numFmtId="0" fontId="6" fillId="0" borderId="1" xfId="0" applyFont="1" applyBorder="1" applyAlignment="1">
      <alignment horizontal="center"/>
    </xf>
    <xf numFmtId="166" fontId="6" fillId="0" borderId="8" xfId="0" applyNumberFormat="1" applyFont="1" applyBorder="1"/>
    <xf numFmtId="41" fontId="6" fillId="2" borderId="29" xfId="0" applyNumberFormat="1" applyFont="1" applyFill="1" applyBorder="1"/>
    <xf numFmtId="166" fontId="6" fillId="2" borderId="0" xfId="0" applyNumberFormat="1" applyFont="1" applyFill="1" applyBorder="1"/>
    <xf numFmtId="0" fontId="7" fillId="5" borderId="4" xfId="0" applyFont="1" applyFill="1" applyBorder="1"/>
    <xf numFmtId="166" fontId="6" fillId="5" borderId="4" xfId="0" applyNumberFormat="1" applyFont="1" applyFill="1" applyBorder="1"/>
    <xf numFmtId="41" fontId="8" fillId="5" borderId="4" xfId="4" applyFont="1" applyFill="1" applyBorder="1"/>
    <xf numFmtId="0" fontId="6" fillId="5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41" fontId="8" fillId="2" borderId="4" xfId="0" applyNumberFormat="1" applyFont="1" applyFill="1" applyBorder="1"/>
    <xf numFmtId="6" fontId="8" fillId="2" borderId="0" xfId="0" applyNumberFormat="1" applyFont="1" applyFill="1" applyBorder="1"/>
    <xf numFmtId="0" fontId="6" fillId="2" borderId="29" xfId="0" applyFont="1" applyFill="1" applyBorder="1"/>
    <xf numFmtId="0" fontId="6" fillId="2" borderId="51" xfId="0" applyFont="1" applyFill="1" applyBorder="1"/>
    <xf numFmtId="0" fontId="6" fillId="0" borderId="1" xfId="0" applyFont="1" applyBorder="1"/>
    <xf numFmtId="0" fontId="6" fillId="2" borderId="1" xfId="0" applyFont="1" applyFill="1" applyBorder="1"/>
    <xf numFmtId="0" fontId="2" fillId="3" borderId="29" xfId="0" applyFont="1" applyFill="1" applyBorder="1" applyAlignment="1">
      <alignment horizontal="center"/>
    </xf>
    <xf numFmtId="169" fontId="2" fillId="4" borderId="40" xfId="0" applyNumberFormat="1" applyFont="1" applyFill="1" applyBorder="1" applyAlignment="1">
      <alignment horizontal="center"/>
    </xf>
    <xf numFmtId="169" fontId="5" fillId="0" borderId="11" xfId="2" applyNumberFormat="1" applyFont="1" applyBorder="1" applyAlignment="1">
      <alignment horizontal="center"/>
    </xf>
    <xf numFmtId="169" fontId="0" fillId="0" borderId="56" xfId="0" applyNumberFormat="1" applyBorder="1"/>
    <xf numFmtId="169" fontId="2" fillId="4" borderId="41" xfId="0" applyNumberFormat="1" applyFont="1" applyFill="1" applyBorder="1" applyAlignment="1">
      <alignment horizontal="center"/>
    </xf>
    <xf numFmtId="169" fontId="5" fillId="0" borderId="25" xfId="2" applyNumberFormat="1" applyFont="1" applyBorder="1" applyAlignment="1">
      <alignment horizontal="center"/>
    </xf>
    <xf numFmtId="169" fontId="11" fillId="0" borderId="4" xfId="3" applyNumberFormat="1" applyFont="1" applyBorder="1" applyAlignment="1">
      <alignment horizontal="right"/>
    </xf>
    <xf numFmtId="169" fontId="11" fillId="0" borderId="1" xfId="3" applyNumberFormat="1" applyFont="1" applyBorder="1" applyAlignment="1">
      <alignment horizontal="right"/>
    </xf>
    <xf numFmtId="169" fontId="9" fillId="0" borderId="1" xfId="3" applyNumberFormat="1" applyFont="1" applyBorder="1" applyAlignment="1">
      <alignment horizontal="right"/>
    </xf>
    <xf numFmtId="169" fontId="5" fillId="0" borderId="1" xfId="3" applyNumberFormat="1" applyFont="1" applyBorder="1"/>
    <xf numFmtId="169" fontId="11" fillId="0" borderId="2" xfId="3" applyNumberFormat="1" applyFont="1" applyBorder="1" applyAlignment="1">
      <alignment horizontal="right"/>
    </xf>
    <xf numFmtId="169" fontId="11" fillId="0" borderId="3" xfId="3" applyNumberFormat="1" applyFont="1" applyBorder="1" applyAlignment="1">
      <alignment horizontal="right"/>
    </xf>
    <xf numFmtId="169" fontId="15" fillId="0" borderId="3" xfId="3" applyNumberFormat="1" applyFont="1" applyBorder="1" applyAlignment="1">
      <alignment horizontal="right"/>
    </xf>
    <xf numFmtId="169" fontId="9" fillId="0" borderId="3" xfId="3" applyNumberFormat="1" applyFont="1" applyBorder="1" applyAlignment="1">
      <alignment horizontal="right"/>
    </xf>
    <xf numFmtId="169" fontId="11" fillId="0" borderId="34" xfId="3" applyNumberFormat="1" applyFont="1" applyBorder="1" applyAlignment="1">
      <alignment horizontal="right"/>
    </xf>
    <xf numFmtId="169" fontId="9" fillId="0" borderId="0" xfId="0" applyNumberFormat="1" applyFont="1" applyBorder="1" applyAlignment="1">
      <alignment horizontal="center"/>
    </xf>
    <xf numFmtId="169" fontId="11" fillId="0" borderId="0" xfId="3" applyNumberFormat="1" applyFont="1" applyBorder="1" applyAlignment="1">
      <alignment horizontal="right"/>
    </xf>
    <xf numFmtId="169" fontId="11" fillId="0" borderId="35" xfId="3" applyNumberFormat="1" applyFont="1" applyBorder="1" applyAlignment="1">
      <alignment horizontal="right"/>
    </xf>
    <xf numFmtId="169" fontId="9" fillId="0" borderId="35" xfId="3" applyNumberFormat="1" applyFont="1" applyBorder="1" applyAlignment="1">
      <alignment horizontal="right"/>
    </xf>
    <xf numFmtId="169" fontId="11" fillId="0" borderId="28" xfId="3" applyNumberFormat="1" applyFont="1" applyBorder="1" applyAlignment="1">
      <alignment horizontal="right"/>
    </xf>
    <xf numFmtId="41" fontId="5" fillId="0" borderId="4" xfId="4" applyFont="1" applyBorder="1"/>
    <xf numFmtId="41" fontId="5" fillId="0" borderId="2" xfId="4" applyFont="1" applyBorder="1"/>
    <xf numFmtId="41" fontId="2" fillId="0" borderId="1" xfId="4" applyFont="1" applyBorder="1"/>
    <xf numFmtId="41" fontId="5" fillId="0" borderId="1" xfId="4" applyFont="1" applyBorder="1"/>
    <xf numFmtId="41" fontId="5" fillId="0" borderId="34" xfId="4" applyFont="1" applyBorder="1"/>
    <xf numFmtId="41" fontId="2" fillId="0" borderId="33" xfId="4" applyFont="1" applyBorder="1"/>
    <xf numFmtId="167" fontId="5" fillId="0" borderId="20" xfId="2" applyNumberFormat="1" applyFont="1" applyBorder="1" applyAlignment="1">
      <alignment horizontal="center"/>
    </xf>
    <xf numFmtId="167" fontId="5" fillId="0" borderId="22" xfId="2" applyNumberFormat="1" applyFont="1" applyBorder="1" applyAlignment="1">
      <alignment horizontal="center"/>
    </xf>
    <xf numFmtId="0" fontId="2" fillId="4" borderId="59" xfId="0" applyFont="1" applyFill="1" applyBorder="1" applyAlignment="1">
      <alignment horizontal="center"/>
    </xf>
    <xf numFmtId="6" fontId="2" fillId="0" borderId="23" xfId="0" applyNumberFormat="1" applyFont="1" applyBorder="1" applyAlignment="1">
      <alignment horizontal="center"/>
    </xf>
    <xf numFmtId="6" fontId="2" fillId="0" borderId="53" xfId="0" applyNumberFormat="1" applyFont="1" applyBorder="1" applyAlignment="1">
      <alignment horizontal="center"/>
    </xf>
    <xf numFmtId="3" fontId="2" fillId="0" borderId="53" xfId="0" applyNumberFormat="1" applyFont="1" applyBorder="1" applyAlignment="1">
      <alignment horizontal="center"/>
    </xf>
    <xf numFmtId="6" fontId="2" fillId="0" borderId="24" xfId="0" applyNumberFormat="1" applyFont="1" applyBorder="1" applyAlignment="1">
      <alignment horizontal="center"/>
    </xf>
    <xf numFmtId="6" fontId="2" fillId="0" borderId="60" xfId="0" applyNumberFormat="1" applyFont="1" applyBorder="1"/>
    <xf numFmtId="6" fontId="2" fillId="0" borderId="61" xfId="0" applyNumberFormat="1" applyFont="1" applyBorder="1"/>
    <xf numFmtId="6" fontId="9" fillId="0" borderId="61" xfId="0" applyNumberFormat="1" applyFont="1" applyBorder="1"/>
    <xf numFmtId="6" fontId="4" fillId="0" borderId="61" xfId="0" applyNumberFormat="1" applyFont="1" applyBorder="1"/>
    <xf numFmtId="6" fontId="4" fillId="0" borderId="55" xfId="0" applyNumberFormat="1" applyFont="1" applyBorder="1"/>
    <xf numFmtId="6" fontId="2" fillId="0" borderId="55" xfId="0" applyNumberFormat="1" applyFont="1" applyBorder="1"/>
    <xf numFmtId="0" fontId="0" fillId="0" borderId="20" xfId="0" applyFont="1" applyBorder="1"/>
    <xf numFmtId="0" fontId="16" fillId="3" borderId="43" xfId="0" applyFont="1" applyFill="1" applyBorder="1" applyAlignment="1">
      <alignment horizontal="center"/>
    </xf>
    <xf numFmtId="0" fontId="17" fillId="3" borderId="44" xfId="0" applyFont="1" applyFill="1" applyBorder="1" applyAlignment="1">
      <alignment horizontal="center"/>
    </xf>
    <xf numFmtId="0" fontId="17" fillId="3" borderId="45" xfId="0" applyFont="1" applyFill="1" applyBorder="1" applyAlignment="1">
      <alignment horizontal="center"/>
    </xf>
    <xf numFmtId="0" fontId="17" fillId="3" borderId="48" xfId="0" applyFont="1" applyFill="1" applyBorder="1" applyAlignment="1">
      <alignment horizontal="center"/>
    </xf>
    <xf numFmtId="0" fontId="17" fillId="3" borderId="49" xfId="0" applyFont="1" applyFill="1" applyBorder="1" applyAlignment="1">
      <alignment horizontal="center"/>
    </xf>
    <xf numFmtId="0" fontId="17" fillId="3" borderId="50" xfId="0" applyFont="1" applyFill="1" applyBorder="1" applyAlignment="1">
      <alignment horizontal="center"/>
    </xf>
    <xf numFmtId="0" fontId="0" fillId="7" borderId="43" xfId="0" applyFill="1" applyBorder="1" applyAlignment="1">
      <alignment horizontal="center"/>
    </xf>
    <xf numFmtId="0" fontId="0" fillId="7" borderId="44" xfId="0" applyFill="1" applyBorder="1" applyAlignment="1">
      <alignment horizontal="center"/>
    </xf>
    <xf numFmtId="0" fontId="0" fillId="7" borderId="45" xfId="0" applyFill="1" applyBorder="1" applyAlignment="1">
      <alignment horizontal="center"/>
    </xf>
    <xf numFmtId="0" fontId="0" fillId="7" borderId="46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47" xfId="0" applyFill="1" applyBorder="1" applyAlignment="1">
      <alignment horizontal="center"/>
    </xf>
    <xf numFmtId="0" fontId="0" fillId="7" borderId="48" xfId="0" applyFill="1" applyBorder="1" applyAlignment="1">
      <alignment horizontal="center"/>
    </xf>
    <xf numFmtId="0" fontId="0" fillId="7" borderId="49" xfId="0" applyFill="1" applyBorder="1" applyAlignment="1">
      <alignment horizontal="center"/>
    </xf>
    <xf numFmtId="0" fontId="0" fillId="7" borderId="50" xfId="0" applyFill="1" applyBorder="1" applyAlignment="1">
      <alignment horizontal="center"/>
    </xf>
    <xf numFmtId="0" fontId="2" fillId="6" borderId="31" xfId="0" applyFont="1" applyFill="1" applyBorder="1" applyAlignment="1">
      <alignment horizontal="center"/>
    </xf>
    <xf numFmtId="0" fontId="2" fillId="6" borderId="32" xfId="0" applyFont="1" applyFill="1" applyBorder="1" applyAlignment="1">
      <alignment horizontal="center"/>
    </xf>
    <xf numFmtId="6" fontId="9" fillId="6" borderId="31" xfId="0" applyNumberFormat="1" applyFont="1" applyFill="1" applyBorder="1" applyAlignment="1">
      <alignment horizontal="center"/>
    </xf>
    <xf numFmtId="6" fontId="9" fillId="6" borderId="36" xfId="0" applyNumberFormat="1" applyFont="1" applyFill="1" applyBorder="1" applyAlignment="1">
      <alignment horizontal="center"/>
    </xf>
    <xf numFmtId="6" fontId="9" fillId="6" borderId="32" xfId="0" applyNumberFormat="1" applyFont="1" applyFill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3" fillId="4" borderId="0" xfId="0" applyFont="1" applyFill="1" applyAlignment="1">
      <alignment horizontal="center"/>
    </xf>
    <xf numFmtId="0" fontId="12" fillId="6" borderId="0" xfId="0" applyFont="1" applyFill="1" applyAlignment="1">
      <alignment horizontal="center"/>
    </xf>
    <xf numFmtId="0" fontId="6" fillId="6" borderId="31" xfId="0" applyFont="1" applyFill="1" applyBorder="1" applyAlignment="1">
      <alignment horizontal="center"/>
    </xf>
    <xf numFmtId="0" fontId="6" fillId="6" borderId="32" xfId="0" applyFont="1" applyFill="1" applyBorder="1" applyAlignment="1">
      <alignment horizontal="center"/>
    </xf>
    <xf numFmtId="0" fontId="2" fillId="6" borderId="57" xfId="0" applyFont="1" applyFill="1" applyBorder="1" applyAlignment="1">
      <alignment horizontal="center"/>
    </xf>
    <xf numFmtId="0" fontId="2" fillId="6" borderId="58" xfId="0" applyFont="1" applyFill="1" applyBorder="1" applyAlignment="1">
      <alignment horizontal="center"/>
    </xf>
    <xf numFmtId="0" fontId="12" fillId="6" borderId="62" xfId="0" applyFont="1" applyFill="1" applyBorder="1" applyAlignment="1">
      <alignment horizontal="center"/>
    </xf>
    <xf numFmtId="0" fontId="12" fillId="6" borderId="0" xfId="0" applyFont="1" applyFill="1" applyBorder="1" applyAlignment="1">
      <alignment horizontal="center"/>
    </xf>
  </cellXfs>
  <cellStyles count="5">
    <cellStyle name="Millares" xfId="3" builtinId="3"/>
    <cellStyle name="Millares [0]" xfId="4" builtinId="6"/>
    <cellStyle name="Moneda" xfId="2" builtinId="4"/>
    <cellStyle name="Moneda [0]" xfId="1" builtinId="7"/>
    <cellStyle name="Normal" xfId="0" builtinId="0"/>
  </cellStyles>
  <dxfs count="49">
    <dxf>
      <fill>
        <patternFill patternType="solid"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solid"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 patternType="solid"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 patternType="solid"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solid"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solid"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104774</xdr:colOff>
      <xdr:row>3</xdr:row>
      <xdr:rowOff>85723</xdr:rowOff>
    </xdr:from>
    <xdr:to>
      <xdr:col>5</xdr:col>
      <xdr:colOff>361950</xdr:colOff>
      <xdr:row>11</xdr:row>
      <xdr:rowOff>0</xdr:rowOff>
    </xdr:to>
    <xdr:sp macro="[0]!ANTE_PROYEC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FD82456-C971-4E17-9800-9194256724F5}"/>
            </a:ext>
          </a:extLst>
        </xdr:cNvPr>
        <xdr:cNvSpPr/>
      </xdr:nvSpPr>
      <xdr:spPr>
        <a:xfrm>
          <a:off x="1628774" y="657223"/>
          <a:ext cx="2543176" cy="1438277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L" sz="1800" b="1" baseline="0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Anteroyecto</a:t>
          </a:r>
          <a:endParaRPr lang="es-CL" sz="1800">
            <a:solidFill>
              <a:srgbClr val="002060"/>
            </a:solidFill>
            <a:effectLst/>
          </a:endParaRPr>
        </a:p>
        <a:p>
          <a:pPr algn="ctr"/>
          <a:r>
            <a:rPr lang="es-CL" sz="1400" b="1">
              <a:solidFill>
                <a:sysClr val="windowText" lastClr="000000"/>
              </a:solidFill>
            </a:rPr>
            <a:t>LOTES</a:t>
          </a:r>
        </a:p>
        <a:p>
          <a:pPr algn="l"/>
          <a:r>
            <a:rPr lang="es-CL" sz="1400" b="1">
              <a:solidFill>
                <a:sysClr val="windowText" lastClr="000000"/>
              </a:solidFill>
            </a:rPr>
            <a:t>-</a:t>
          </a:r>
          <a:r>
            <a:rPr lang="es-CL" sz="1400" b="1" baseline="0">
              <a:solidFill>
                <a:sysClr val="windowText" lastClr="000000"/>
              </a:solidFill>
            </a:rPr>
            <a:t> </a:t>
          </a:r>
          <a:r>
            <a:rPr lang="es-CL" sz="1400" b="1">
              <a:solidFill>
                <a:sysClr val="windowText" lastClr="000000"/>
              </a:solidFill>
            </a:rPr>
            <a:t>LA</a:t>
          </a:r>
          <a:r>
            <a:rPr lang="es-CL" sz="1400" b="1" baseline="0">
              <a:solidFill>
                <a:sysClr val="windowText" lastClr="000000"/>
              </a:solidFill>
            </a:rPr>
            <a:t> BANDA, </a:t>
          </a:r>
          <a:r>
            <a:rPr lang="es-CL" sz="1400" b="1" baseline="0">
              <a:solidFill>
                <a:schemeClr val="bg1"/>
              </a:solidFill>
            </a:rPr>
            <a:t>ACANTHA PICA</a:t>
          </a:r>
        </a:p>
        <a:p>
          <a:pPr algn="l"/>
          <a:r>
            <a:rPr lang="es-CL" sz="1400" b="1" baseline="0">
              <a:solidFill>
                <a:sysClr val="windowText" lastClr="000000"/>
              </a:solidFill>
            </a:rPr>
            <a:t>- LA BANDA, </a:t>
          </a:r>
          <a:r>
            <a:rPr lang="es-CL" sz="1400" b="1" baseline="0">
              <a:solidFill>
                <a:srgbClr val="C00000"/>
              </a:solidFill>
            </a:rPr>
            <a:t>ADARA PICA</a:t>
          </a:r>
        </a:p>
        <a:p>
          <a:pPr algn="l"/>
          <a:r>
            <a:rPr lang="es-CL" sz="1400" b="1" baseline="0">
              <a:solidFill>
                <a:sysClr val="windowText" lastClr="000000"/>
              </a:solidFill>
            </a:rPr>
            <a:t>- LA HUAYCA, COLCHANES</a:t>
          </a:r>
        </a:p>
      </xdr:txBody>
    </xdr:sp>
    <xdr:clientData/>
  </xdr:twoCellAnchor>
  <xdr:twoCellAnchor>
    <xdr:from>
      <xdr:col>5</xdr:col>
      <xdr:colOff>695326</xdr:colOff>
      <xdr:row>3</xdr:row>
      <xdr:rowOff>104775</xdr:rowOff>
    </xdr:from>
    <xdr:to>
      <xdr:col>10</xdr:col>
      <xdr:colOff>76200</xdr:colOff>
      <xdr:row>8</xdr:row>
      <xdr:rowOff>47624</xdr:rowOff>
    </xdr:to>
    <xdr:sp macro="[0]!CAMBIO_ACANTHA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E6E18748-6C4A-4B73-9130-EA5A66DD277F}"/>
            </a:ext>
          </a:extLst>
        </xdr:cNvPr>
        <xdr:cNvSpPr/>
      </xdr:nvSpPr>
      <xdr:spPr>
        <a:xfrm>
          <a:off x="4505326" y="676275"/>
          <a:ext cx="3190874" cy="895349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L" sz="1800" b="1" baseline="0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Cambio uso Suelo</a:t>
          </a:r>
          <a:endParaRPr lang="es-CL" sz="1800">
            <a:solidFill>
              <a:srgbClr val="002060"/>
            </a:solidFill>
            <a:effectLst/>
          </a:endParaRPr>
        </a:p>
        <a:p>
          <a:pPr algn="ctr"/>
          <a:r>
            <a:rPr lang="es-CL" sz="1400" b="1">
              <a:solidFill>
                <a:sysClr val="windowText" lastClr="000000"/>
              </a:solidFill>
            </a:rPr>
            <a:t>LOTE</a:t>
          </a:r>
        </a:p>
        <a:p>
          <a:pPr algn="ctr"/>
          <a:r>
            <a:rPr lang="es-CL" sz="1400" b="1" baseline="0">
              <a:solidFill>
                <a:sysClr val="windowText" lastClr="000000"/>
              </a:solidFill>
            </a:rPr>
            <a:t>LA BANDA, </a:t>
          </a:r>
          <a:r>
            <a:rPr lang="es-CL" sz="1400" b="1" baseline="0">
              <a:solidFill>
                <a:schemeClr val="bg1"/>
              </a:solidFill>
            </a:rPr>
            <a:t>ACANTHA PICA</a:t>
          </a:r>
        </a:p>
      </xdr:txBody>
    </xdr:sp>
    <xdr:clientData/>
  </xdr:twoCellAnchor>
  <xdr:twoCellAnchor>
    <xdr:from>
      <xdr:col>5</xdr:col>
      <xdr:colOff>685801</xdr:colOff>
      <xdr:row>8</xdr:row>
      <xdr:rowOff>171450</xdr:rowOff>
    </xdr:from>
    <xdr:to>
      <xdr:col>10</xdr:col>
      <xdr:colOff>76201</xdr:colOff>
      <xdr:row>13</xdr:row>
      <xdr:rowOff>123826</xdr:rowOff>
    </xdr:to>
    <xdr:sp macro="[0]!CAMBIO_ADARA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FA567202-2D0E-4E35-850F-885F33137BF1}"/>
            </a:ext>
          </a:extLst>
        </xdr:cNvPr>
        <xdr:cNvSpPr/>
      </xdr:nvSpPr>
      <xdr:spPr>
        <a:xfrm>
          <a:off x="4495801" y="1695450"/>
          <a:ext cx="3200400" cy="9048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L" sz="1800" b="1" baseline="0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Cambio uso Suelo</a:t>
          </a:r>
          <a:endParaRPr lang="es-CL" sz="1800">
            <a:solidFill>
              <a:srgbClr val="002060"/>
            </a:solidFill>
            <a:effectLst/>
          </a:endParaRPr>
        </a:p>
        <a:p>
          <a:pPr algn="ctr"/>
          <a:r>
            <a:rPr lang="es-CL" sz="1400" b="1">
              <a:solidFill>
                <a:sysClr val="windowText" lastClr="000000"/>
              </a:solidFill>
            </a:rPr>
            <a:t>LOTE</a:t>
          </a:r>
        </a:p>
        <a:p>
          <a:pPr algn="ctr"/>
          <a:r>
            <a:rPr lang="es-CL" sz="1400" b="1" baseline="0">
              <a:solidFill>
                <a:sysClr val="windowText" lastClr="000000"/>
              </a:solidFill>
            </a:rPr>
            <a:t>LA BANDA, </a:t>
          </a:r>
          <a:r>
            <a:rPr lang="es-CL" sz="1400" b="1" baseline="0">
              <a:solidFill>
                <a:srgbClr val="C00000"/>
              </a:solidFill>
            </a:rPr>
            <a:t>ADARA PICA</a:t>
          </a:r>
        </a:p>
      </xdr:txBody>
    </xdr:sp>
    <xdr:clientData/>
  </xdr:twoCellAnchor>
  <xdr:twoCellAnchor>
    <xdr:from>
      <xdr:col>2</xdr:col>
      <xdr:colOff>95249</xdr:colOff>
      <xdr:row>12</xdr:row>
      <xdr:rowOff>95249</xdr:rowOff>
    </xdr:from>
    <xdr:to>
      <xdr:col>5</xdr:col>
      <xdr:colOff>314324</xdr:colOff>
      <xdr:row>18</xdr:row>
      <xdr:rowOff>104775</xdr:rowOff>
    </xdr:to>
    <xdr:sp macro="[0]!HOTEL_HUAYC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8071F2A-D533-495A-BA26-3B4DC1137971}"/>
            </a:ext>
          </a:extLst>
        </xdr:cNvPr>
        <xdr:cNvSpPr/>
      </xdr:nvSpPr>
      <xdr:spPr>
        <a:xfrm>
          <a:off x="1619249" y="2381249"/>
          <a:ext cx="2505075" cy="115252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400" b="1">
              <a:solidFill>
                <a:sysClr val="windowText" lastClr="000000"/>
              </a:solidFill>
            </a:rPr>
            <a:t>LA</a:t>
          </a:r>
          <a:r>
            <a:rPr lang="es-CL" sz="1400" b="1" baseline="0">
              <a:solidFill>
                <a:sysClr val="windowText" lastClr="000000"/>
              </a:solidFill>
            </a:rPr>
            <a:t> HUAYCA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L" sz="1800" b="1" baseline="0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Recepcion Final</a:t>
          </a:r>
          <a:endParaRPr lang="es-CL" sz="1800" b="1" baseline="0">
            <a:solidFill>
              <a:srgbClr val="002060"/>
            </a:solidFill>
          </a:endParaRPr>
        </a:p>
        <a:p>
          <a:pPr algn="ctr"/>
          <a:r>
            <a:rPr lang="es-CL" sz="1400" b="1" baseline="0">
              <a:solidFill>
                <a:sysClr val="windowText" lastClr="000000"/>
              </a:solidFill>
            </a:rPr>
            <a:t>HOTEL</a:t>
          </a:r>
        </a:p>
        <a:p>
          <a:pPr algn="ctr"/>
          <a:endParaRPr lang="es-CL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704849</xdr:colOff>
      <xdr:row>14</xdr:row>
      <xdr:rowOff>142874</xdr:rowOff>
    </xdr:from>
    <xdr:to>
      <xdr:col>10</xdr:col>
      <xdr:colOff>66674</xdr:colOff>
      <xdr:row>18</xdr:row>
      <xdr:rowOff>76199</xdr:rowOff>
    </xdr:to>
    <xdr:sp macro="[0]!MEMO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690B45C2-8052-4BD3-8D43-1FCD2FEB2A63}"/>
            </a:ext>
          </a:extLst>
        </xdr:cNvPr>
        <xdr:cNvSpPr/>
      </xdr:nvSpPr>
      <xdr:spPr>
        <a:xfrm>
          <a:off x="4514849" y="2809874"/>
          <a:ext cx="3171825" cy="695325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400" b="1">
              <a:solidFill>
                <a:schemeClr val="tx1"/>
              </a:solidFill>
            </a:rPr>
            <a:t>MEMOS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99579</xdr:colOff>
      <xdr:row>0</xdr:row>
      <xdr:rowOff>91784</xdr:rowOff>
    </xdr:from>
    <xdr:to>
      <xdr:col>14</xdr:col>
      <xdr:colOff>179917</xdr:colOff>
      <xdr:row>1</xdr:row>
      <xdr:rowOff>179917</xdr:rowOff>
    </xdr:to>
    <xdr:sp macro="[0]!PANEL_2" textlink="">
      <xdr:nvSpPr>
        <xdr:cNvPr id="3" name="2 Elips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889162" y="91784"/>
          <a:ext cx="874088" cy="352716"/>
        </a:xfrm>
        <a:prstGeom prst="ellips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 b="1"/>
            <a:t>volver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82176</xdr:colOff>
      <xdr:row>0</xdr:row>
      <xdr:rowOff>256802</xdr:rowOff>
    </xdr:from>
    <xdr:to>
      <xdr:col>7</xdr:col>
      <xdr:colOff>878417</xdr:colOff>
      <xdr:row>2</xdr:row>
      <xdr:rowOff>137583</xdr:rowOff>
    </xdr:to>
    <xdr:sp macro="[0]!PANEL_2" textlink="">
      <xdr:nvSpPr>
        <xdr:cNvPr id="2" name="1 Elips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702176" y="256802"/>
          <a:ext cx="796241" cy="346448"/>
        </a:xfrm>
        <a:prstGeom prst="ellips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 b="1"/>
            <a:t>volver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123825</xdr:colOff>
      <xdr:row>1</xdr:row>
      <xdr:rowOff>9524</xdr:rowOff>
    </xdr:from>
    <xdr:to>
      <xdr:col>11</xdr:col>
      <xdr:colOff>895350</xdr:colOff>
      <xdr:row>3</xdr:row>
      <xdr:rowOff>19049</xdr:rowOff>
    </xdr:to>
    <xdr:sp macro="[0]!PANEL_2" textlink="">
      <xdr:nvSpPr>
        <xdr:cNvPr id="5" name="4 Elipse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8391525" y="323849"/>
          <a:ext cx="771525" cy="390525"/>
        </a:xfrm>
        <a:prstGeom prst="ellips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 b="1"/>
            <a:t>volver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752474</xdr:colOff>
      <xdr:row>1</xdr:row>
      <xdr:rowOff>123825</xdr:rowOff>
    </xdr:from>
    <xdr:to>
      <xdr:col>12</xdr:col>
      <xdr:colOff>38099</xdr:colOff>
      <xdr:row>3</xdr:row>
      <xdr:rowOff>95250</xdr:rowOff>
    </xdr:to>
    <xdr:sp macro="[0]!PANEL_2" textlink="">
      <xdr:nvSpPr>
        <xdr:cNvPr id="3" name="2 Elips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096374" y="371475"/>
          <a:ext cx="809625" cy="361950"/>
        </a:xfrm>
        <a:prstGeom prst="ellips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 b="1"/>
            <a:t>volver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9526</xdr:rowOff>
    </xdr:from>
    <xdr:to>
      <xdr:col>7</xdr:col>
      <xdr:colOff>0</xdr:colOff>
      <xdr:row>1</xdr:row>
      <xdr:rowOff>142876</xdr:rowOff>
    </xdr:to>
    <xdr:sp macro="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762000" y="9526"/>
          <a:ext cx="4867275" cy="3238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600" b="1">
              <a:solidFill>
                <a:sysClr val="windowText" lastClr="000000"/>
              </a:solidFill>
            </a:rPr>
            <a:t>MEMOS CAMBIO USO SUELO</a:t>
          </a:r>
          <a:r>
            <a:rPr lang="es-CL" sz="1600" b="1" baseline="0">
              <a:solidFill>
                <a:sysClr val="windowText" lastClr="000000"/>
              </a:solidFill>
            </a:rPr>
            <a:t> </a:t>
          </a:r>
          <a:endParaRPr lang="es-CL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190500</xdr:colOff>
      <xdr:row>0</xdr:row>
      <xdr:rowOff>152400</xdr:rowOff>
    </xdr:from>
    <xdr:to>
      <xdr:col>8</xdr:col>
      <xdr:colOff>285750</xdr:colOff>
      <xdr:row>2</xdr:row>
      <xdr:rowOff>190499</xdr:rowOff>
    </xdr:to>
    <xdr:sp macro="[0]!PANEL_2" textlink="">
      <xdr:nvSpPr>
        <xdr:cNvPr id="5" name="4 Elipse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5819775" y="152400"/>
          <a:ext cx="857250" cy="419099"/>
        </a:xfrm>
        <a:prstGeom prst="ellips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 b="1"/>
            <a:t>volver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L22"/>
  <sheetViews>
    <sheetView zoomScaleNormal="100" workbookViewId="0">
      <selection activeCell="O9" sqref="O9"/>
    </sheetView>
  </sheetViews>
  <sheetFormatPr baseColWidth="10" defaultRowHeight="15" x14ac:dyDescent="0.25"/>
  <sheetData>
    <row r="1" spans="2:12" x14ac:dyDescent="0.25">
      <c r="B1" s="187" t="s">
        <v>282</v>
      </c>
      <c r="C1" s="188"/>
      <c r="D1" s="188"/>
      <c r="E1" s="188"/>
      <c r="F1" s="188"/>
      <c r="G1" s="188"/>
      <c r="H1" s="188"/>
      <c r="I1" s="188"/>
      <c r="J1" s="188"/>
      <c r="K1" s="189"/>
      <c r="L1" s="73"/>
    </row>
    <row r="2" spans="2:12" ht="15" customHeight="1" thickBot="1" x14ac:dyDescent="0.3">
      <c r="B2" s="190"/>
      <c r="C2" s="191"/>
      <c r="D2" s="191"/>
      <c r="E2" s="191"/>
      <c r="F2" s="191"/>
      <c r="G2" s="191"/>
      <c r="H2" s="191"/>
      <c r="I2" s="191"/>
      <c r="J2" s="191"/>
      <c r="K2" s="192"/>
      <c r="L2" s="73"/>
    </row>
    <row r="3" spans="2:12" x14ac:dyDescent="0.25">
      <c r="B3" s="193"/>
      <c r="C3" s="194"/>
      <c r="D3" s="194"/>
      <c r="E3" s="194"/>
      <c r="F3" s="194"/>
      <c r="G3" s="194"/>
      <c r="H3" s="194"/>
      <c r="I3" s="194"/>
      <c r="J3" s="194"/>
      <c r="K3" s="195"/>
      <c r="L3" s="73"/>
    </row>
    <row r="4" spans="2:12" x14ac:dyDescent="0.25">
      <c r="B4" s="196"/>
      <c r="C4" s="197"/>
      <c r="D4" s="197"/>
      <c r="E4" s="197"/>
      <c r="F4" s="197"/>
      <c r="G4" s="197"/>
      <c r="H4" s="197"/>
      <c r="I4" s="197"/>
      <c r="J4" s="197"/>
      <c r="K4" s="198"/>
      <c r="L4" s="73"/>
    </row>
    <row r="5" spans="2:12" x14ac:dyDescent="0.25">
      <c r="B5" s="196"/>
      <c r="C5" s="197"/>
      <c r="D5" s="197"/>
      <c r="E5" s="197"/>
      <c r="F5" s="197"/>
      <c r="G5" s="197"/>
      <c r="H5" s="197"/>
      <c r="I5" s="197"/>
      <c r="J5" s="197"/>
      <c r="K5" s="198"/>
      <c r="L5" s="73"/>
    </row>
    <row r="6" spans="2:12" x14ac:dyDescent="0.25">
      <c r="B6" s="196"/>
      <c r="C6" s="197"/>
      <c r="D6" s="197"/>
      <c r="E6" s="197"/>
      <c r="F6" s="197"/>
      <c r="G6" s="197"/>
      <c r="H6" s="197"/>
      <c r="I6" s="197"/>
      <c r="J6" s="197"/>
      <c r="K6" s="198"/>
      <c r="L6" s="73"/>
    </row>
    <row r="7" spans="2:12" x14ac:dyDescent="0.25">
      <c r="B7" s="196"/>
      <c r="C7" s="197"/>
      <c r="D7" s="197"/>
      <c r="E7" s="197"/>
      <c r="F7" s="197"/>
      <c r="G7" s="197"/>
      <c r="H7" s="197"/>
      <c r="I7" s="197"/>
      <c r="J7" s="197"/>
      <c r="K7" s="198"/>
      <c r="L7" s="73"/>
    </row>
    <row r="8" spans="2:12" x14ac:dyDescent="0.25">
      <c r="B8" s="196"/>
      <c r="C8" s="197"/>
      <c r="D8" s="197"/>
      <c r="E8" s="197"/>
      <c r="F8" s="197"/>
      <c r="G8" s="197"/>
      <c r="H8" s="197"/>
      <c r="I8" s="197"/>
      <c r="J8" s="197"/>
      <c r="K8" s="198"/>
      <c r="L8" s="73"/>
    </row>
    <row r="9" spans="2:12" x14ac:dyDescent="0.25">
      <c r="B9" s="196"/>
      <c r="C9" s="197"/>
      <c r="D9" s="197"/>
      <c r="E9" s="197"/>
      <c r="F9" s="197"/>
      <c r="G9" s="197"/>
      <c r="H9" s="197"/>
      <c r="I9" s="197"/>
      <c r="J9" s="197"/>
      <c r="K9" s="198"/>
      <c r="L9" s="73"/>
    </row>
    <row r="10" spans="2:12" x14ac:dyDescent="0.25">
      <c r="B10" s="196"/>
      <c r="C10" s="197"/>
      <c r="D10" s="197"/>
      <c r="E10" s="197"/>
      <c r="F10" s="197"/>
      <c r="G10" s="197"/>
      <c r="H10" s="197"/>
      <c r="I10" s="197"/>
      <c r="J10" s="197"/>
      <c r="K10" s="198"/>
      <c r="L10" s="73"/>
    </row>
    <row r="11" spans="2:12" x14ac:dyDescent="0.25">
      <c r="B11" s="196"/>
      <c r="C11" s="197"/>
      <c r="D11" s="197"/>
      <c r="E11" s="197"/>
      <c r="F11" s="197"/>
      <c r="G11" s="197"/>
      <c r="H11" s="197"/>
      <c r="I11" s="197"/>
      <c r="J11" s="197"/>
      <c r="K11" s="198"/>
      <c r="L11" s="73"/>
    </row>
    <row r="12" spans="2:12" x14ac:dyDescent="0.25">
      <c r="B12" s="196"/>
      <c r="C12" s="197"/>
      <c r="D12" s="197"/>
      <c r="E12" s="197"/>
      <c r="F12" s="197"/>
      <c r="G12" s="197"/>
      <c r="H12" s="197"/>
      <c r="I12" s="197"/>
      <c r="J12" s="197"/>
      <c r="K12" s="198"/>
      <c r="L12" s="73"/>
    </row>
    <row r="13" spans="2:12" x14ac:dyDescent="0.25">
      <c r="B13" s="196"/>
      <c r="C13" s="197"/>
      <c r="D13" s="197"/>
      <c r="E13" s="197"/>
      <c r="F13" s="197"/>
      <c r="G13" s="197"/>
      <c r="H13" s="197"/>
      <c r="I13" s="197"/>
      <c r="J13" s="197"/>
      <c r="K13" s="198"/>
      <c r="L13" s="73"/>
    </row>
    <row r="14" spans="2:12" x14ac:dyDescent="0.25">
      <c r="B14" s="196"/>
      <c r="C14" s="197"/>
      <c r="D14" s="197"/>
      <c r="E14" s="197"/>
      <c r="F14" s="197"/>
      <c r="G14" s="197"/>
      <c r="H14" s="197"/>
      <c r="I14" s="197"/>
      <c r="J14" s="197"/>
      <c r="K14" s="198"/>
      <c r="L14" s="73"/>
    </row>
    <row r="15" spans="2:12" x14ac:dyDescent="0.25">
      <c r="B15" s="196"/>
      <c r="C15" s="197"/>
      <c r="D15" s="197"/>
      <c r="E15" s="197"/>
      <c r="F15" s="197"/>
      <c r="G15" s="197"/>
      <c r="H15" s="197"/>
      <c r="I15" s="197"/>
      <c r="J15" s="197"/>
      <c r="K15" s="198"/>
      <c r="L15" s="73"/>
    </row>
    <row r="16" spans="2:12" x14ac:dyDescent="0.25">
      <c r="B16" s="196"/>
      <c r="C16" s="197"/>
      <c r="D16" s="197"/>
      <c r="E16" s="197"/>
      <c r="F16" s="197"/>
      <c r="G16" s="197"/>
      <c r="H16" s="197"/>
      <c r="I16" s="197"/>
      <c r="J16" s="197"/>
      <c r="K16" s="198"/>
      <c r="L16" s="73"/>
    </row>
    <row r="17" spans="2:12" x14ac:dyDescent="0.25">
      <c r="B17" s="196"/>
      <c r="C17" s="197"/>
      <c r="D17" s="197"/>
      <c r="E17" s="197"/>
      <c r="F17" s="197"/>
      <c r="G17" s="197"/>
      <c r="H17" s="197"/>
      <c r="I17" s="197"/>
      <c r="J17" s="197"/>
      <c r="K17" s="198"/>
      <c r="L17" s="73"/>
    </row>
    <row r="18" spans="2:12" x14ac:dyDescent="0.25">
      <c r="B18" s="196"/>
      <c r="C18" s="197"/>
      <c r="D18" s="197"/>
      <c r="E18" s="197"/>
      <c r="F18" s="197"/>
      <c r="G18" s="197"/>
      <c r="H18" s="197"/>
      <c r="I18" s="197"/>
      <c r="J18" s="197"/>
      <c r="K18" s="198"/>
      <c r="L18" s="73"/>
    </row>
    <row r="19" spans="2:12" x14ac:dyDescent="0.25">
      <c r="B19" s="196"/>
      <c r="C19" s="197"/>
      <c r="D19" s="197"/>
      <c r="E19" s="197"/>
      <c r="F19" s="197"/>
      <c r="G19" s="197"/>
      <c r="H19" s="197"/>
      <c r="I19" s="197"/>
      <c r="J19" s="197"/>
      <c r="K19" s="198"/>
      <c r="L19" s="73"/>
    </row>
    <row r="20" spans="2:12" ht="15.75" thickBot="1" x14ac:dyDescent="0.3">
      <c r="B20" s="199"/>
      <c r="C20" s="200"/>
      <c r="D20" s="200"/>
      <c r="E20" s="200"/>
      <c r="F20" s="200"/>
      <c r="G20" s="200"/>
      <c r="H20" s="200"/>
      <c r="I20" s="200"/>
      <c r="J20" s="200"/>
      <c r="K20" s="201"/>
      <c r="L20" s="73"/>
    </row>
    <row r="21" spans="2:12" x14ac:dyDescent="0.25">
      <c r="L21" s="73"/>
    </row>
    <row r="22" spans="2:12" x14ac:dyDescent="0.25">
      <c r="L22" s="73"/>
    </row>
  </sheetData>
  <mergeCells count="2">
    <mergeCell ref="B1:K2"/>
    <mergeCell ref="B3:K20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P48"/>
  <sheetViews>
    <sheetView topLeftCell="A13" zoomScaleNormal="100" zoomScalePageLayoutView="90" workbookViewId="0">
      <selection activeCell="A18" sqref="A18"/>
    </sheetView>
  </sheetViews>
  <sheetFormatPr baseColWidth="10" defaultColWidth="10.42578125" defaultRowHeight="15" x14ac:dyDescent="0.25"/>
  <cols>
    <col min="1" max="1" width="11.140625" customWidth="1"/>
    <col min="2" max="2" width="14" customWidth="1"/>
    <col min="3" max="3" width="7.7109375" bestFit="1" customWidth="1"/>
    <col min="4" max="4" width="13" customWidth="1"/>
    <col min="5" max="5" width="11.7109375" customWidth="1"/>
    <col min="6" max="6" width="9.140625" style="75" bestFit="1" customWidth="1"/>
    <col min="7" max="7" width="11.7109375" customWidth="1"/>
    <col min="8" max="8" width="12.85546875" style="75" bestFit="1" customWidth="1"/>
    <col min="9" max="9" width="11.7109375" customWidth="1"/>
    <col min="10" max="10" width="9.140625" style="75" bestFit="1" customWidth="1"/>
    <col min="11" max="11" width="12.140625" bestFit="1" customWidth="1"/>
    <col min="12" max="13" width="11.7109375" customWidth="1"/>
    <col min="14" max="14" width="11.85546875" bestFit="1" customWidth="1"/>
    <col min="16" max="16" width="8.85546875" bestFit="1" customWidth="1"/>
  </cols>
  <sheetData>
    <row r="1" spans="1:16" ht="21" customHeight="1" thickBot="1" x14ac:dyDescent="0.4">
      <c r="A1" s="207" t="s">
        <v>192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P1" s="147" t="s">
        <v>31</v>
      </c>
    </row>
    <row r="2" spans="1:16" ht="15.75" thickBot="1" x14ac:dyDescent="0.3"/>
    <row r="3" spans="1:16" ht="15.75" thickBot="1" x14ac:dyDescent="0.3">
      <c r="A3" s="16" t="s">
        <v>29</v>
      </c>
      <c r="B3" s="17" t="s">
        <v>28</v>
      </c>
      <c r="C3" s="18" t="s">
        <v>27</v>
      </c>
      <c r="D3" s="18" t="s">
        <v>2</v>
      </c>
      <c r="E3" s="18" t="s">
        <v>32</v>
      </c>
      <c r="F3" s="76" t="s">
        <v>0</v>
      </c>
      <c r="G3" s="18" t="s">
        <v>33</v>
      </c>
      <c r="H3" s="76" t="s">
        <v>0</v>
      </c>
      <c r="I3" s="18" t="s">
        <v>34</v>
      </c>
      <c r="J3" s="81"/>
      <c r="K3" s="19" t="s">
        <v>35</v>
      </c>
      <c r="L3" s="175" t="s">
        <v>6</v>
      </c>
      <c r="M3" s="62" t="s">
        <v>5</v>
      </c>
      <c r="N3" s="4"/>
    </row>
    <row r="4" spans="1:16" x14ac:dyDescent="0.25">
      <c r="A4" s="3" t="s">
        <v>45</v>
      </c>
      <c r="B4" s="6" t="s">
        <v>36</v>
      </c>
      <c r="C4" s="3" t="s">
        <v>86</v>
      </c>
      <c r="D4" s="7">
        <v>800000</v>
      </c>
      <c r="E4" s="51">
        <v>200000</v>
      </c>
      <c r="F4" s="153">
        <v>43187</v>
      </c>
      <c r="G4" s="51">
        <v>500000</v>
      </c>
      <c r="H4" s="157">
        <v>43245</v>
      </c>
      <c r="I4" s="52">
        <v>100000</v>
      </c>
      <c r="J4" s="163">
        <v>43256</v>
      </c>
      <c r="K4" s="53">
        <f>SUM(E4,G4,I4)</f>
        <v>800000</v>
      </c>
      <c r="L4" s="176" t="s">
        <v>31</v>
      </c>
      <c r="M4" s="180">
        <f>D4-K4</f>
        <v>0</v>
      </c>
    </row>
    <row r="5" spans="1:16" x14ac:dyDescent="0.25">
      <c r="A5" s="1" t="s">
        <v>46</v>
      </c>
      <c r="B5" s="6" t="s">
        <v>36</v>
      </c>
      <c r="C5" s="3" t="s">
        <v>87</v>
      </c>
      <c r="D5" s="2">
        <v>800000</v>
      </c>
      <c r="E5" s="54">
        <v>300000</v>
      </c>
      <c r="F5" s="154">
        <v>43256</v>
      </c>
      <c r="G5" s="54">
        <v>500000</v>
      </c>
      <c r="H5" s="158">
        <v>43256</v>
      </c>
      <c r="I5" s="55"/>
      <c r="J5" s="164"/>
      <c r="K5" s="56">
        <f>SUM(E5,G5,I5)</f>
        <v>800000</v>
      </c>
      <c r="L5" s="177" t="s">
        <v>31</v>
      </c>
      <c r="M5" s="181">
        <f t="shared" ref="M5:M24" si="0">D5-K5</f>
        <v>0</v>
      </c>
    </row>
    <row r="6" spans="1:16" x14ac:dyDescent="0.25">
      <c r="A6" s="1" t="s">
        <v>47</v>
      </c>
      <c r="B6" s="6" t="s">
        <v>36</v>
      </c>
      <c r="C6" s="3" t="s">
        <v>88</v>
      </c>
      <c r="D6" s="2">
        <v>800000</v>
      </c>
      <c r="E6" s="54">
        <v>400000</v>
      </c>
      <c r="F6" s="154">
        <v>43104</v>
      </c>
      <c r="G6" s="54">
        <v>400000</v>
      </c>
      <c r="H6" s="158">
        <v>43476</v>
      </c>
      <c r="I6" s="55"/>
      <c r="J6" s="164"/>
      <c r="K6" s="56">
        <f>SUM(E6,G6,I6)</f>
        <v>800000</v>
      </c>
      <c r="L6" s="177" t="s">
        <v>31</v>
      </c>
      <c r="M6" s="181">
        <f t="shared" si="0"/>
        <v>0</v>
      </c>
    </row>
    <row r="7" spans="1:16" x14ac:dyDescent="0.25">
      <c r="A7" s="1" t="s">
        <v>48</v>
      </c>
      <c r="B7" s="6" t="s">
        <v>36</v>
      </c>
      <c r="C7" s="1" t="s">
        <v>89</v>
      </c>
      <c r="D7" s="2">
        <v>800000</v>
      </c>
      <c r="E7" s="54">
        <v>300000</v>
      </c>
      <c r="F7" s="154">
        <v>43256</v>
      </c>
      <c r="G7" s="54">
        <v>500000</v>
      </c>
      <c r="H7" s="158">
        <v>43276</v>
      </c>
      <c r="I7" s="55"/>
      <c r="J7" s="164"/>
      <c r="K7" s="56">
        <f>SUM(E7,G7,I7)</f>
        <v>800000</v>
      </c>
      <c r="L7" s="177" t="s">
        <v>31</v>
      </c>
      <c r="M7" s="181">
        <f t="shared" si="0"/>
        <v>0</v>
      </c>
    </row>
    <row r="8" spans="1:16" x14ac:dyDescent="0.25">
      <c r="A8" s="1" t="s">
        <v>49</v>
      </c>
      <c r="B8" s="6" t="s">
        <v>36</v>
      </c>
      <c r="C8" s="1" t="s">
        <v>90</v>
      </c>
      <c r="D8" s="2">
        <v>800000</v>
      </c>
      <c r="E8" s="54">
        <v>600000</v>
      </c>
      <c r="F8" s="154">
        <v>43301</v>
      </c>
      <c r="G8" s="54">
        <v>200000</v>
      </c>
      <c r="H8" s="158">
        <v>43280</v>
      </c>
      <c r="I8" s="55"/>
      <c r="J8" s="164"/>
      <c r="K8" s="56">
        <f t="shared" ref="K8:K27" si="1">SUM(I8,G8,E8)</f>
        <v>800000</v>
      </c>
      <c r="L8" s="177" t="s">
        <v>31</v>
      </c>
      <c r="M8" s="181">
        <f t="shared" si="0"/>
        <v>0</v>
      </c>
    </row>
    <row r="9" spans="1:16" x14ac:dyDescent="0.25">
      <c r="A9" s="1" t="s">
        <v>44</v>
      </c>
      <c r="B9" s="6" t="s">
        <v>36</v>
      </c>
      <c r="C9" s="1" t="s">
        <v>91</v>
      </c>
      <c r="D9" s="2">
        <v>800000</v>
      </c>
      <c r="E9" s="54">
        <v>200000</v>
      </c>
      <c r="F9" s="154">
        <v>43301</v>
      </c>
      <c r="G9" s="54">
        <v>300000</v>
      </c>
      <c r="H9" s="158">
        <v>43454</v>
      </c>
      <c r="I9" s="57">
        <v>300000</v>
      </c>
      <c r="J9" s="165" t="s">
        <v>178</v>
      </c>
      <c r="K9" s="56">
        <f t="shared" si="1"/>
        <v>800000</v>
      </c>
      <c r="L9" s="178" t="s">
        <v>31</v>
      </c>
      <c r="M9" s="182">
        <f t="shared" si="0"/>
        <v>0</v>
      </c>
    </row>
    <row r="10" spans="1:16" x14ac:dyDescent="0.25">
      <c r="A10" s="1" t="s">
        <v>50</v>
      </c>
      <c r="B10" s="6" t="s">
        <v>36</v>
      </c>
      <c r="C10" s="1" t="s">
        <v>92</v>
      </c>
      <c r="D10" s="2">
        <v>800000</v>
      </c>
      <c r="E10" s="54">
        <v>800000</v>
      </c>
      <c r="F10" s="154">
        <v>43295</v>
      </c>
      <c r="G10" s="54"/>
      <c r="H10" s="158"/>
      <c r="I10" s="55"/>
      <c r="J10" s="164"/>
      <c r="K10" s="56">
        <f t="shared" si="1"/>
        <v>800000</v>
      </c>
      <c r="L10" s="177" t="s">
        <v>31</v>
      </c>
      <c r="M10" s="181">
        <f t="shared" si="0"/>
        <v>0</v>
      </c>
    </row>
    <row r="11" spans="1:16" x14ac:dyDescent="0.25">
      <c r="A11" s="1" t="s">
        <v>51</v>
      </c>
      <c r="B11" s="6" t="s">
        <v>36</v>
      </c>
      <c r="C11" s="1" t="s">
        <v>93</v>
      </c>
      <c r="D11" s="2">
        <v>800000</v>
      </c>
      <c r="E11" s="54">
        <v>500000</v>
      </c>
      <c r="F11" s="154">
        <v>43282</v>
      </c>
      <c r="G11" s="54">
        <v>300000</v>
      </c>
      <c r="H11" s="159" t="s">
        <v>191</v>
      </c>
      <c r="I11" s="55"/>
      <c r="J11" s="164"/>
      <c r="K11" s="56">
        <f t="shared" si="1"/>
        <v>800000</v>
      </c>
      <c r="L11" s="177" t="s">
        <v>31</v>
      </c>
      <c r="M11" s="181">
        <f t="shared" si="0"/>
        <v>0</v>
      </c>
    </row>
    <row r="12" spans="1:16" x14ac:dyDescent="0.25">
      <c r="A12" s="1" t="s">
        <v>52</v>
      </c>
      <c r="B12" s="6" t="s">
        <v>36</v>
      </c>
      <c r="C12" s="1" t="s">
        <v>94</v>
      </c>
      <c r="D12" s="2">
        <v>800000</v>
      </c>
      <c r="E12" s="54">
        <v>400000</v>
      </c>
      <c r="F12" s="154">
        <v>43490</v>
      </c>
      <c r="G12" s="58">
        <v>400000</v>
      </c>
      <c r="H12" s="160" t="s">
        <v>178</v>
      </c>
      <c r="I12" s="55"/>
      <c r="J12" s="164"/>
      <c r="K12" s="56">
        <f t="shared" si="1"/>
        <v>800000</v>
      </c>
      <c r="L12" s="177" t="s">
        <v>31</v>
      </c>
      <c r="M12" s="182">
        <f t="shared" si="0"/>
        <v>0</v>
      </c>
    </row>
    <row r="13" spans="1:16" x14ac:dyDescent="0.25">
      <c r="A13" s="1" t="s">
        <v>53</v>
      </c>
      <c r="B13" s="6" t="s">
        <v>36</v>
      </c>
      <c r="C13" s="1" t="s">
        <v>95</v>
      </c>
      <c r="D13" s="2">
        <v>800000</v>
      </c>
      <c r="E13" s="54">
        <v>400000</v>
      </c>
      <c r="F13" s="154">
        <v>43490</v>
      </c>
      <c r="G13" s="54">
        <v>400000</v>
      </c>
      <c r="H13" s="158">
        <v>43532</v>
      </c>
      <c r="I13" s="55"/>
      <c r="J13" s="164"/>
      <c r="K13" s="56">
        <f t="shared" si="1"/>
        <v>800000</v>
      </c>
      <c r="L13" s="177" t="s">
        <v>31</v>
      </c>
      <c r="M13" s="181">
        <f t="shared" si="0"/>
        <v>0</v>
      </c>
    </row>
    <row r="14" spans="1:16" x14ac:dyDescent="0.25">
      <c r="A14" s="1" t="s">
        <v>54</v>
      </c>
      <c r="B14" s="6" t="s">
        <v>36</v>
      </c>
      <c r="C14" s="1" t="s">
        <v>96</v>
      </c>
      <c r="D14" s="2">
        <v>800000</v>
      </c>
      <c r="E14" s="54">
        <v>300000</v>
      </c>
      <c r="F14" s="154">
        <v>43385</v>
      </c>
      <c r="G14" s="54">
        <v>400000</v>
      </c>
      <c r="H14" s="158">
        <v>43392</v>
      </c>
      <c r="I14" s="57">
        <v>100000</v>
      </c>
      <c r="J14" s="165" t="s">
        <v>178</v>
      </c>
      <c r="K14" s="56">
        <f t="shared" si="1"/>
        <v>800000</v>
      </c>
      <c r="L14" s="177" t="s">
        <v>31</v>
      </c>
      <c r="M14" s="182">
        <f t="shared" si="0"/>
        <v>0</v>
      </c>
    </row>
    <row r="15" spans="1:16" x14ac:dyDescent="0.25">
      <c r="A15" s="1" t="s">
        <v>55</v>
      </c>
      <c r="B15" s="6" t="s">
        <v>36</v>
      </c>
      <c r="C15" s="1" t="s">
        <v>97</v>
      </c>
      <c r="D15" s="2">
        <v>800000</v>
      </c>
      <c r="E15" s="54">
        <v>400000</v>
      </c>
      <c r="F15" s="154">
        <v>43404</v>
      </c>
      <c r="G15" s="54">
        <v>400000</v>
      </c>
      <c r="H15" s="158">
        <v>43399</v>
      </c>
      <c r="I15" s="55"/>
      <c r="J15" s="164"/>
      <c r="K15" s="56">
        <f t="shared" si="1"/>
        <v>800000</v>
      </c>
      <c r="L15" s="177" t="s">
        <v>31</v>
      </c>
      <c r="M15" s="181">
        <f t="shared" si="0"/>
        <v>0</v>
      </c>
    </row>
    <row r="16" spans="1:16" x14ac:dyDescent="0.25">
      <c r="A16" s="1" t="s">
        <v>294</v>
      </c>
      <c r="B16" s="6" t="s">
        <v>36</v>
      </c>
      <c r="C16" s="1" t="s">
        <v>73</v>
      </c>
      <c r="D16" s="2">
        <v>500000</v>
      </c>
      <c r="E16" s="54">
        <v>300000</v>
      </c>
      <c r="F16" s="154">
        <v>44099</v>
      </c>
      <c r="G16" s="58">
        <v>200000</v>
      </c>
      <c r="H16" s="160" t="s">
        <v>178</v>
      </c>
      <c r="I16" s="55"/>
      <c r="J16" s="164"/>
      <c r="K16" s="56">
        <f t="shared" si="1"/>
        <v>500000</v>
      </c>
      <c r="L16" s="177" t="s">
        <v>31</v>
      </c>
      <c r="M16" s="182">
        <f t="shared" ref="M16" si="2">D16-K16</f>
        <v>0</v>
      </c>
    </row>
    <row r="17" spans="1:14" x14ac:dyDescent="0.25">
      <c r="A17" s="1" t="s">
        <v>56</v>
      </c>
      <c r="B17" s="6" t="s">
        <v>36</v>
      </c>
      <c r="C17" s="1" t="s">
        <v>98</v>
      </c>
      <c r="D17" s="2">
        <v>500000</v>
      </c>
      <c r="E17" s="54">
        <v>300000</v>
      </c>
      <c r="F17" s="154">
        <v>43739</v>
      </c>
      <c r="G17" s="58">
        <v>200000</v>
      </c>
      <c r="H17" s="160" t="s">
        <v>178</v>
      </c>
      <c r="I17" s="55"/>
      <c r="J17" s="164"/>
      <c r="K17" s="56">
        <f t="shared" si="1"/>
        <v>500000</v>
      </c>
      <c r="L17" s="177" t="s">
        <v>31</v>
      </c>
      <c r="M17" s="182">
        <f t="shared" si="0"/>
        <v>0</v>
      </c>
    </row>
    <row r="18" spans="1:14" x14ac:dyDescent="0.25">
      <c r="A18" s="1" t="s">
        <v>58</v>
      </c>
      <c r="B18" s="6" t="s">
        <v>36</v>
      </c>
      <c r="C18" s="1" t="s">
        <v>99</v>
      </c>
      <c r="D18" s="2">
        <v>800000</v>
      </c>
      <c r="E18" s="54">
        <v>400000</v>
      </c>
      <c r="F18" s="154">
        <v>43413</v>
      </c>
      <c r="G18" s="54">
        <v>400000</v>
      </c>
      <c r="H18" s="158">
        <v>43420</v>
      </c>
      <c r="I18" s="55"/>
      <c r="J18" s="164"/>
      <c r="K18" s="56">
        <f t="shared" si="1"/>
        <v>800000</v>
      </c>
      <c r="L18" s="177" t="s">
        <v>31</v>
      </c>
      <c r="M18" s="181">
        <f t="shared" si="0"/>
        <v>0</v>
      </c>
    </row>
    <row r="19" spans="1:14" x14ac:dyDescent="0.25">
      <c r="A19" s="1" t="s">
        <v>57</v>
      </c>
      <c r="B19" s="6" t="s">
        <v>36</v>
      </c>
      <c r="C19" s="1" t="s">
        <v>100</v>
      </c>
      <c r="D19" s="2">
        <v>800000</v>
      </c>
      <c r="E19" s="54">
        <v>300000</v>
      </c>
      <c r="F19" s="154">
        <v>43647</v>
      </c>
      <c r="G19" s="54">
        <v>240000</v>
      </c>
      <c r="H19" s="158">
        <v>43839</v>
      </c>
      <c r="I19" s="55"/>
      <c r="J19" s="164"/>
      <c r="K19" s="56">
        <f t="shared" si="1"/>
        <v>540000</v>
      </c>
      <c r="L19" s="177"/>
      <c r="M19" s="183">
        <f t="shared" si="0"/>
        <v>260000</v>
      </c>
    </row>
    <row r="20" spans="1:14" x14ac:dyDescent="0.25">
      <c r="A20" s="1" t="s">
        <v>59</v>
      </c>
      <c r="B20" s="6" t="s">
        <v>36</v>
      </c>
      <c r="C20" s="1" t="s">
        <v>101</v>
      </c>
      <c r="D20" s="2">
        <v>800000</v>
      </c>
      <c r="E20" s="58">
        <v>800000</v>
      </c>
      <c r="F20" s="155" t="s">
        <v>178</v>
      </c>
      <c r="G20" s="54"/>
      <c r="H20" s="158"/>
      <c r="I20" s="55"/>
      <c r="J20" s="164"/>
      <c r="K20" s="56">
        <f t="shared" si="1"/>
        <v>800000</v>
      </c>
      <c r="L20" s="177" t="s">
        <v>31</v>
      </c>
      <c r="M20" s="182">
        <f t="shared" si="0"/>
        <v>0</v>
      </c>
    </row>
    <row r="21" spans="1:14" x14ac:dyDescent="0.25">
      <c r="A21" s="1" t="s">
        <v>60</v>
      </c>
      <c r="B21" s="6" t="s">
        <v>36</v>
      </c>
      <c r="C21" s="1" t="s">
        <v>102</v>
      </c>
      <c r="D21" s="2">
        <v>500000</v>
      </c>
      <c r="E21" s="54">
        <v>500000</v>
      </c>
      <c r="F21" s="154">
        <v>43717</v>
      </c>
      <c r="G21" s="54"/>
      <c r="H21" s="158"/>
      <c r="I21" s="55"/>
      <c r="J21" s="164"/>
      <c r="K21" s="56">
        <f t="shared" si="1"/>
        <v>500000</v>
      </c>
      <c r="L21" s="177" t="s">
        <v>31</v>
      </c>
      <c r="M21" s="181">
        <f t="shared" si="0"/>
        <v>0</v>
      </c>
    </row>
    <row r="22" spans="1:14" x14ac:dyDescent="0.25">
      <c r="A22" s="1" t="s">
        <v>61</v>
      </c>
      <c r="B22" s="6" t="s">
        <v>36</v>
      </c>
      <c r="C22" s="1" t="s">
        <v>103</v>
      </c>
      <c r="D22" s="2">
        <v>500000</v>
      </c>
      <c r="E22" s="58">
        <v>500000</v>
      </c>
      <c r="F22" s="155" t="s">
        <v>178</v>
      </c>
      <c r="G22" s="54"/>
      <c r="H22" s="158"/>
      <c r="I22" s="55"/>
      <c r="J22" s="164"/>
      <c r="K22" s="56">
        <f t="shared" si="1"/>
        <v>500000</v>
      </c>
      <c r="L22" s="177" t="s">
        <v>31</v>
      </c>
      <c r="M22" s="182">
        <f t="shared" si="0"/>
        <v>0</v>
      </c>
    </row>
    <row r="23" spans="1:14" x14ac:dyDescent="0.25">
      <c r="A23" s="1" t="s">
        <v>62</v>
      </c>
      <c r="B23" s="6" t="s">
        <v>36</v>
      </c>
      <c r="C23" s="1" t="s">
        <v>104</v>
      </c>
      <c r="D23" s="2">
        <v>500000</v>
      </c>
      <c r="E23" s="58"/>
      <c r="F23" s="154"/>
      <c r="G23" s="54"/>
      <c r="H23" s="158"/>
      <c r="I23" s="55"/>
      <c r="J23" s="164"/>
      <c r="K23" s="56">
        <f t="shared" si="1"/>
        <v>0</v>
      </c>
      <c r="L23" s="177"/>
      <c r="M23" s="183">
        <f t="shared" si="0"/>
        <v>500000</v>
      </c>
    </row>
    <row r="24" spans="1:14" x14ac:dyDescent="0.25">
      <c r="A24" s="1" t="s">
        <v>63</v>
      </c>
      <c r="B24" s="6" t="s">
        <v>36</v>
      </c>
      <c r="C24" s="1" t="s">
        <v>105</v>
      </c>
      <c r="D24" s="2">
        <v>500000</v>
      </c>
      <c r="E24" s="54">
        <v>500000</v>
      </c>
      <c r="F24" s="154">
        <v>43877</v>
      </c>
      <c r="G24" s="54"/>
      <c r="H24" s="158"/>
      <c r="I24" s="55"/>
      <c r="J24" s="164"/>
      <c r="K24" s="56">
        <f t="shared" si="1"/>
        <v>500000</v>
      </c>
      <c r="L24" s="177" t="s">
        <v>31</v>
      </c>
      <c r="M24" s="182">
        <f t="shared" si="0"/>
        <v>0</v>
      </c>
    </row>
    <row r="25" spans="1:14" x14ac:dyDescent="0.25">
      <c r="A25" s="1" t="s">
        <v>64</v>
      </c>
      <c r="B25" s="6" t="s">
        <v>36</v>
      </c>
      <c r="C25" s="1" t="s">
        <v>106</v>
      </c>
      <c r="D25" s="2">
        <v>800000</v>
      </c>
      <c r="E25" s="54"/>
      <c r="F25" s="154"/>
      <c r="G25" s="54"/>
      <c r="H25" s="158"/>
      <c r="I25" s="55"/>
      <c r="J25" s="164"/>
      <c r="K25" s="56">
        <f t="shared" si="1"/>
        <v>0</v>
      </c>
      <c r="L25" s="177"/>
      <c r="M25" s="183">
        <f t="shared" ref="M25:M30" si="3">D25-K25</f>
        <v>800000</v>
      </c>
    </row>
    <row r="26" spans="1:14" x14ac:dyDescent="0.25">
      <c r="A26" s="1" t="s">
        <v>65</v>
      </c>
      <c r="B26" s="6" t="s">
        <v>36</v>
      </c>
      <c r="C26" s="1" t="s">
        <v>107</v>
      </c>
      <c r="D26" s="2">
        <v>800000</v>
      </c>
      <c r="E26" s="54"/>
      <c r="F26" s="154"/>
      <c r="G26" s="54"/>
      <c r="H26" s="158"/>
      <c r="I26" s="55"/>
      <c r="J26" s="164"/>
      <c r="K26" s="56">
        <f t="shared" si="1"/>
        <v>0</v>
      </c>
      <c r="L26" s="177"/>
      <c r="M26" s="183">
        <f t="shared" si="3"/>
        <v>800000</v>
      </c>
    </row>
    <row r="27" spans="1:14" x14ac:dyDescent="0.25">
      <c r="A27" s="1" t="s">
        <v>66</v>
      </c>
      <c r="B27" s="6" t="s">
        <v>36</v>
      </c>
      <c r="C27" s="1" t="s">
        <v>108</v>
      </c>
      <c r="D27" s="2">
        <v>500000</v>
      </c>
      <c r="E27" s="58"/>
      <c r="F27" s="154"/>
      <c r="G27" s="54"/>
      <c r="H27" s="158"/>
      <c r="I27" s="55"/>
      <c r="J27" s="164"/>
      <c r="K27" s="56">
        <f t="shared" si="1"/>
        <v>0</v>
      </c>
      <c r="L27" s="177"/>
      <c r="M27" s="183">
        <f t="shared" si="3"/>
        <v>500000</v>
      </c>
    </row>
    <row r="28" spans="1:14" x14ac:dyDescent="0.25">
      <c r="A28" s="1" t="s">
        <v>67</v>
      </c>
      <c r="B28" s="6" t="s">
        <v>36</v>
      </c>
      <c r="C28" s="1" t="s">
        <v>109</v>
      </c>
      <c r="D28" s="2">
        <v>500000</v>
      </c>
      <c r="E28" s="54"/>
      <c r="F28" s="154"/>
      <c r="G28" s="54"/>
      <c r="H28" s="158"/>
      <c r="I28" s="55"/>
      <c r="J28" s="164"/>
      <c r="K28" s="56">
        <f t="shared" ref="K28" si="4">SUM(E28:I28)</f>
        <v>0</v>
      </c>
      <c r="L28" s="177"/>
      <c r="M28" s="183">
        <f t="shared" si="3"/>
        <v>500000</v>
      </c>
    </row>
    <row r="29" spans="1:14" x14ac:dyDescent="0.25">
      <c r="A29" s="1" t="s">
        <v>68</v>
      </c>
      <c r="B29" s="6" t="s">
        <v>36</v>
      </c>
      <c r="C29" s="1" t="s">
        <v>110</v>
      </c>
      <c r="D29" s="2">
        <v>500000</v>
      </c>
      <c r="E29" s="54">
        <v>200000</v>
      </c>
      <c r="F29" s="154">
        <v>44022</v>
      </c>
      <c r="G29" s="54"/>
      <c r="H29" s="158"/>
      <c r="I29" s="55"/>
      <c r="J29" s="164"/>
      <c r="K29" s="56">
        <f>SUM(I29,G29,E29)</f>
        <v>200000</v>
      </c>
      <c r="L29" s="177"/>
      <c r="M29" s="183">
        <f t="shared" si="3"/>
        <v>300000</v>
      </c>
    </row>
    <row r="30" spans="1:14" ht="15.75" thickBot="1" x14ac:dyDescent="0.3">
      <c r="A30" s="1" t="s">
        <v>69</v>
      </c>
      <c r="B30" s="27" t="s">
        <v>36</v>
      </c>
      <c r="C30" s="46" t="s">
        <v>111</v>
      </c>
      <c r="D30" s="47">
        <v>500000</v>
      </c>
      <c r="E30" s="54"/>
      <c r="F30" s="156"/>
      <c r="G30" s="54"/>
      <c r="H30" s="161"/>
      <c r="I30" s="59"/>
      <c r="J30" s="166"/>
      <c r="K30" s="60">
        <f>SUM(I30,G30,E30)</f>
        <v>0</v>
      </c>
      <c r="L30" s="177"/>
      <c r="M30" s="184">
        <f t="shared" si="3"/>
        <v>500000</v>
      </c>
    </row>
    <row r="31" spans="1:14" ht="15.75" thickBot="1" x14ac:dyDescent="0.3">
      <c r="A31" s="21"/>
      <c r="B31" s="202" t="s">
        <v>179</v>
      </c>
      <c r="C31" s="203"/>
      <c r="D31" s="48">
        <f>SUM(D4:D30)</f>
        <v>18600000</v>
      </c>
      <c r="E31" s="23"/>
      <c r="F31" s="82"/>
      <c r="G31" s="23"/>
      <c r="H31" s="204" t="s">
        <v>180</v>
      </c>
      <c r="I31" s="205"/>
      <c r="J31" s="206"/>
      <c r="K31" s="49">
        <f>SUM(K4:K30)</f>
        <v>14440000</v>
      </c>
      <c r="L31" s="25"/>
      <c r="M31" s="26"/>
      <c r="N31" s="44"/>
    </row>
    <row r="32" spans="1:14" ht="15.75" thickBot="1" x14ac:dyDescent="0.3">
      <c r="A32" s="21"/>
      <c r="B32" s="45"/>
      <c r="C32" s="45"/>
      <c r="D32" s="22"/>
      <c r="E32" s="23"/>
      <c r="F32" s="82"/>
      <c r="G32" s="23"/>
      <c r="H32" s="162"/>
      <c r="I32" s="50"/>
      <c r="J32" s="162"/>
      <c r="K32" s="24"/>
      <c r="L32" s="25"/>
      <c r="M32" s="26"/>
      <c r="N32" s="44"/>
    </row>
    <row r="33" spans="1:14" ht="15.75" thickBot="1" x14ac:dyDescent="0.3">
      <c r="A33" s="21"/>
      <c r="B33" s="95" t="s">
        <v>181</v>
      </c>
      <c r="C33" s="94"/>
      <c r="D33" s="61">
        <f>D31-K31</f>
        <v>4160000</v>
      </c>
      <c r="G33" s="23"/>
      <c r="H33" s="162"/>
      <c r="I33" s="50"/>
      <c r="J33" s="162"/>
      <c r="K33" s="24"/>
      <c r="L33" s="25"/>
      <c r="M33" s="26"/>
      <c r="N33" s="44"/>
    </row>
    <row r="34" spans="1:14" ht="21" x14ac:dyDescent="0.35">
      <c r="A34" s="207" t="s">
        <v>193</v>
      </c>
      <c r="B34" s="208"/>
      <c r="C34" s="208"/>
      <c r="D34" s="208"/>
      <c r="E34" s="208"/>
      <c r="F34" s="208"/>
      <c r="G34" s="208"/>
      <c r="H34" s="208"/>
      <c r="I34" s="208"/>
      <c r="J34" s="208"/>
      <c r="K34" s="208"/>
      <c r="L34" s="208"/>
      <c r="M34" s="208"/>
    </row>
    <row r="36" spans="1:14" ht="15.75" thickBot="1" x14ac:dyDescent="0.3"/>
    <row r="37" spans="1:14" ht="15.75" thickBot="1" x14ac:dyDescent="0.3">
      <c r="A37" s="16" t="s">
        <v>29</v>
      </c>
      <c r="B37" s="17" t="s">
        <v>28</v>
      </c>
      <c r="C37" s="18" t="s">
        <v>27</v>
      </c>
      <c r="D37" s="18" t="s">
        <v>2</v>
      </c>
      <c r="E37" s="18" t="s">
        <v>32</v>
      </c>
      <c r="F37" s="76" t="s">
        <v>0</v>
      </c>
      <c r="G37" s="18" t="s">
        <v>33</v>
      </c>
      <c r="H37" s="76" t="s">
        <v>0</v>
      </c>
      <c r="I37" s="18" t="s">
        <v>34</v>
      </c>
      <c r="J37" s="81" t="s">
        <v>0</v>
      </c>
      <c r="K37" s="66" t="s">
        <v>35</v>
      </c>
      <c r="L37" s="175" t="s">
        <v>6</v>
      </c>
      <c r="M37" s="62" t="s">
        <v>5</v>
      </c>
    </row>
    <row r="38" spans="1:14" x14ac:dyDescent="0.25">
      <c r="A38" s="3" t="s">
        <v>200</v>
      </c>
      <c r="B38" s="6" t="s">
        <v>36</v>
      </c>
      <c r="C38" s="8">
        <v>7</v>
      </c>
      <c r="D38" s="7">
        <v>500000</v>
      </c>
      <c r="E38" s="167">
        <v>250000</v>
      </c>
      <c r="F38" s="77">
        <v>44134</v>
      </c>
      <c r="G38" s="167">
        <v>250000</v>
      </c>
      <c r="H38" s="79">
        <v>44148</v>
      </c>
      <c r="I38" s="168"/>
      <c r="J38" s="82"/>
      <c r="K38" s="169">
        <f>SUM(E38,G38,I38)</f>
        <v>500000</v>
      </c>
      <c r="L38" s="179" t="s">
        <v>31</v>
      </c>
      <c r="M38" s="180">
        <f>D38-K38</f>
        <v>0</v>
      </c>
    </row>
    <row r="39" spans="1:14" ht="15.75" thickBot="1" x14ac:dyDescent="0.3">
      <c r="A39" s="1" t="s">
        <v>199</v>
      </c>
      <c r="B39" s="27" t="s">
        <v>36</v>
      </c>
      <c r="C39" s="74">
        <v>8</v>
      </c>
      <c r="D39" s="47">
        <v>500000</v>
      </c>
      <c r="E39" s="170">
        <v>250000</v>
      </c>
      <c r="F39" s="78">
        <v>44134</v>
      </c>
      <c r="G39" s="170">
        <v>250000</v>
      </c>
      <c r="H39" s="80">
        <v>44148</v>
      </c>
      <c r="I39" s="171"/>
      <c r="J39" s="84"/>
      <c r="K39" s="172">
        <f>SUM(E39,G39,I39)</f>
        <v>500000</v>
      </c>
      <c r="L39" s="177" t="s">
        <v>31</v>
      </c>
      <c r="M39" s="185">
        <f t="shared" ref="M39" si="5">D39-K39</f>
        <v>0</v>
      </c>
    </row>
    <row r="40" spans="1:14" ht="15.75" thickBot="1" x14ac:dyDescent="0.3">
      <c r="B40" s="202" t="s">
        <v>179</v>
      </c>
      <c r="C40" s="203"/>
      <c r="D40" s="83">
        <f>SUM(D38:D39)</f>
        <v>1000000</v>
      </c>
      <c r="I40" s="202" t="s">
        <v>180</v>
      </c>
      <c r="J40" s="203"/>
      <c r="K40" s="49">
        <f>SUM(K38:K39)</f>
        <v>1000000</v>
      </c>
    </row>
    <row r="43" spans="1:14" ht="21" x14ac:dyDescent="0.35">
      <c r="A43" s="209" t="s">
        <v>212</v>
      </c>
      <c r="B43" s="209"/>
      <c r="C43" s="209"/>
      <c r="D43" s="209"/>
      <c r="E43" s="209"/>
      <c r="F43" s="209"/>
      <c r="G43" s="209"/>
      <c r="H43" s="209"/>
      <c r="I43" s="209"/>
      <c r="J43" s="209"/>
      <c r="K43" s="209"/>
      <c r="L43" s="209"/>
      <c r="M43" s="209"/>
    </row>
    <row r="44" spans="1:14" ht="15.75" thickBot="1" x14ac:dyDescent="0.3"/>
    <row r="45" spans="1:14" ht="15.75" thickBot="1" x14ac:dyDescent="0.3">
      <c r="A45" s="16" t="s">
        <v>29</v>
      </c>
      <c r="B45" s="17" t="s">
        <v>28</v>
      </c>
      <c r="C45" s="18" t="s">
        <v>210</v>
      </c>
      <c r="D45" s="18" t="s">
        <v>2</v>
      </c>
      <c r="E45" s="18" t="s">
        <v>32</v>
      </c>
      <c r="F45" s="76" t="s">
        <v>0</v>
      </c>
      <c r="G45" s="18" t="s">
        <v>33</v>
      </c>
      <c r="H45" s="76" t="s">
        <v>0</v>
      </c>
      <c r="I45" s="18" t="s">
        <v>34</v>
      </c>
      <c r="J45" s="81" t="s">
        <v>0</v>
      </c>
      <c r="K45" s="66" t="s">
        <v>35</v>
      </c>
      <c r="L45" s="175" t="s">
        <v>6</v>
      </c>
      <c r="M45" s="62" t="s">
        <v>5</v>
      </c>
    </row>
    <row r="46" spans="1:14" x14ac:dyDescent="0.25">
      <c r="A46" s="3" t="s">
        <v>209</v>
      </c>
      <c r="B46" s="6" t="s">
        <v>36</v>
      </c>
      <c r="C46" s="8" t="s">
        <v>211</v>
      </c>
      <c r="D46" s="7">
        <v>2000000</v>
      </c>
      <c r="E46" s="167">
        <v>550000</v>
      </c>
      <c r="F46" s="77">
        <v>44135</v>
      </c>
      <c r="G46" s="167">
        <v>450000</v>
      </c>
      <c r="H46" s="79"/>
      <c r="I46" s="168"/>
      <c r="J46" s="82"/>
      <c r="K46" s="169">
        <f>SUM(E46,G46,I46)</f>
        <v>1000000</v>
      </c>
      <c r="L46" s="179"/>
      <c r="M46" s="180">
        <f>D46-K46</f>
        <v>1000000</v>
      </c>
    </row>
    <row r="47" spans="1:14" ht="15.75" thickBot="1" x14ac:dyDescent="0.3">
      <c r="A47" s="1"/>
      <c r="B47" s="27"/>
      <c r="C47" s="74"/>
      <c r="D47" s="47"/>
      <c r="E47" s="170"/>
      <c r="F47" s="78"/>
      <c r="G47" s="170"/>
      <c r="H47" s="80"/>
      <c r="I47" s="171"/>
      <c r="J47" s="84"/>
      <c r="K47" s="172">
        <f>SUM(E47,G47,I47)</f>
        <v>0</v>
      </c>
      <c r="L47" s="177"/>
      <c r="M47" s="185">
        <f t="shared" ref="M47" si="6">D47-K47</f>
        <v>0</v>
      </c>
    </row>
    <row r="48" spans="1:14" ht="15.75" thickBot="1" x14ac:dyDescent="0.3">
      <c r="B48" s="202" t="s">
        <v>179</v>
      </c>
      <c r="C48" s="203"/>
      <c r="D48" s="83">
        <f>SUM(D46:D47)</f>
        <v>2000000</v>
      </c>
      <c r="I48" s="202" t="s">
        <v>180</v>
      </c>
      <c r="J48" s="203"/>
      <c r="K48" s="49">
        <f>SUM(K46:K47)</f>
        <v>1000000</v>
      </c>
    </row>
  </sheetData>
  <mergeCells count="9">
    <mergeCell ref="B48:C48"/>
    <mergeCell ref="I48:J48"/>
    <mergeCell ref="B31:C31"/>
    <mergeCell ref="H31:J31"/>
    <mergeCell ref="A1:M1"/>
    <mergeCell ref="A34:M34"/>
    <mergeCell ref="B40:C40"/>
    <mergeCell ref="I40:J40"/>
    <mergeCell ref="A43:M43"/>
  </mergeCells>
  <conditionalFormatting sqref="C46:M47">
    <cfRule type="expression" dxfId="48" priority="3">
      <formula>#REF!="NO CONCRETADO"</formula>
    </cfRule>
    <cfRule type="expression" dxfId="47" priority="4">
      <formula>#REF!="AVANZANDO"</formula>
    </cfRule>
    <cfRule type="expression" dxfId="46" priority="5">
      <formula>#REF!="COMPLETO"</formula>
    </cfRule>
  </conditionalFormatting>
  <conditionalFormatting sqref="A4:M30">
    <cfRule type="expression" dxfId="45" priority="2">
      <formula>$L4="pagado"</formula>
    </cfRule>
  </conditionalFormatting>
  <conditionalFormatting sqref="A38:M39">
    <cfRule type="expression" dxfId="44" priority="1">
      <formula>$L38="PAGADO"</formula>
    </cfRule>
  </conditionalFormatting>
  <dataValidations count="1">
    <dataValidation type="list" allowBlank="1" showInputMessage="1" showErrorMessage="1" sqref="L4:L30 L38:L39 L46:L47" xr:uid="{5C5E7279-BBCC-4306-A080-1D16C2329767}">
      <formula1>$P$1</formula1>
    </dataValidation>
  </dataValidations>
  <pageMargins left="0.98425196850393704" right="0.98425196850393704" top="0.5092592592592593" bottom="0.98425196850393704" header="0.51181102362204722" footer="0.51181102362204722"/>
  <pageSetup paperSize="5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>
    <pageSetUpPr fitToPage="1"/>
  </sheetPr>
  <dimension ref="A1:I679"/>
  <sheetViews>
    <sheetView tabSelected="1" view="pageLayout" zoomScale="87" zoomScaleNormal="90" zoomScalePageLayoutView="87" workbookViewId="0">
      <selection activeCell="A682" sqref="A681:A682"/>
    </sheetView>
  </sheetViews>
  <sheetFormatPr baseColWidth="10" defaultRowHeight="15.75" x14ac:dyDescent="0.25"/>
  <cols>
    <col min="1" max="1" width="19.7109375" style="99" bestFit="1" customWidth="1"/>
    <col min="2" max="2" width="13.85546875" style="99" bestFit="1" customWidth="1"/>
    <col min="3" max="3" width="12.7109375" style="100" customWidth="1"/>
    <col min="4" max="5" width="11.7109375" style="99" customWidth="1"/>
    <col min="6" max="6" width="12.7109375" style="99" customWidth="1"/>
    <col min="7" max="7" width="16.28515625" style="100" bestFit="1" customWidth="1"/>
    <col min="8" max="8" width="13.7109375" customWidth="1"/>
  </cols>
  <sheetData>
    <row r="1" spans="1:9" ht="21" x14ac:dyDescent="0.35">
      <c r="A1" s="96"/>
      <c r="B1" s="96"/>
      <c r="C1" s="97" t="s">
        <v>194</v>
      </c>
      <c r="D1" s="96"/>
      <c r="E1" s="96"/>
      <c r="F1" s="96"/>
      <c r="G1" s="97"/>
      <c r="I1" s="98" t="s">
        <v>31</v>
      </c>
    </row>
    <row r="2" spans="1:9" x14ac:dyDescent="0.25">
      <c r="G2" s="101"/>
      <c r="H2" s="4"/>
    </row>
    <row r="3" spans="1:9" ht="16.5" thickBot="1" x14ac:dyDescent="0.3">
      <c r="G3" s="101"/>
      <c r="H3" s="4"/>
    </row>
    <row r="4" spans="1:9" ht="16.5" thickBot="1" x14ac:dyDescent="0.3">
      <c r="A4" s="102" t="s">
        <v>70</v>
      </c>
      <c r="B4" s="103" t="s">
        <v>177</v>
      </c>
      <c r="C4" s="103" t="s">
        <v>72</v>
      </c>
      <c r="D4" s="104" t="s">
        <v>0</v>
      </c>
      <c r="E4" s="9"/>
      <c r="F4" s="9"/>
      <c r="G4" s="101"/>
      <c r="H4" s="4"/>
    </row>
    <row r="5" spans="1:9" ht="16.5" thickBot="1" x14ac:dyDescent="0.3">
      <c r="A5" s="40" t="s">
        <v>76</v>
      </c>
      <c r="B5" s="41">
        <v>20</v>
      </c>
      <c r="C5" s="41" t="s">
        <v>77</v>
      </c>
      <c r="D5" s="42">
        <v>43153</v>
      </c>
      <c r="E5" s="9"/>
      <c r="F5" s="9"/>
      <c r="G5" s="101"/>
      <c r="H5" s="4"/>
    </row>
    <row r="6" spans="1:9" ht="16.5" thickBot="1" x14ac:dyDescent="0.3">
      <c r="A6" s="102" t="s">
        <v>28</v>
      </c>
      <c r="B6" s="103" t="s">
        <v>30</v>
      </c>
      <c r="C6" s="103" t="s">
        <v>2</v>
      </c>
      <c r="D6" s="103" t="s">
        <v>3</v>
      </c>
      <c r="E6" s="103" t="s">
        <v>4</v>
      </c>
      <c r="F6" s="103" t="s">
        <v>35</v>
      </c>
      <c r="G6" s="104" t="s">
        <v>6</v>
      </c>
      <c r="H6" s="4"/>
    </row>
    <row r="7" spans="1:9" x14ac:dyDescent="0.25">
      <c r="A7" s="12" t="s">
        <v>78</v>
      </c>
      <c r="B7" s="43" t="s">
        <v>7</v>
      </c>
      <c r="C7" s="13">
        <v>100000</v>
      </c>
      <c r="D7" s="105">
        <v>100000</v>
      </c>
      <c r="E7" s="105"/>
      <c r="F7" s="105">
        <f>SUM(D7:E7)</f>
        <v>100000</v>
      </c>
      <c r="G7" s="106" t="s">
        <v>31</v>
      </c>
      <c r="H7" s="4"/>
    </row>
    <row r="8" spans="1:9" x14ac:dyDescent="0.25">
      <c r="A8" s="12" t="s">
        <v>79</v>
      </c>
      <c r="B8" s="43" t="s">
        <v>8</v>
      </c>
      <c r="C8" s="13">
        <v>100000</v>
      </c>
      <c r="D8" s="105">
        <v>70000</v>
      </c>
      <c r="E8" s="105">
        <v>30000</v>
      </c>
      <c r="F8" s="105">
        <f>SUM(D8,E8)</f>
        <v>100000</v>
      </c>
      <c r="G8" s="14" t="s">
        <v>31</v>
      </c>
      <c r="H8" s="4"/>
    </row>
    <row r="9" spans="1:9" x14ac:dyDescent="0.25">
      <c r="A9" s="12" t="s">
        <v>150</v>
      </c>
      <c r="B9" s="43" t="s">
        <v>9</v>
      </c>
      <c r="C9" s="13">
        <v>100000</v>
      </c>
      <c r="D9" s="105">
        <v>100000</v>
      </c>
      <c r="E9" s="105"/>
      <c r="F9" s="105">
        <f>SUM(E9,D9)</f>
        <v>100000</v>
      </c>
      <c r="G9" s="14" t="s">
        <v>31</v>
      </c>
      <c r="H9" s="4"/>
    </row>
    <row r="10" spans="1:9" x14ac:dyDescent="0.25">
      <c r="A10" s="12" t="s">
        <v>80</v>
      </c>
      <c r="B10" s="43" t="s">
        <v>10</v>
      </c>
      <c r="C10" s="13">
        <v>100000</v>
      </c>
      <c r="D10" s="105">
        <v>100000</v>
      </c>
      <c r="E10" s="105"/>
      <c r="F10" s="105">
        <f>SUM(E10,D10)</f>
        <v>100000</v>
      </c>
      <c r="G10" s="14" t="s">
        <v>31</v>
      </c>
      <c r="H10" s="4"/>
    </row>
    <row r="11" spans="1:9" x14ac:dyDescent="0.25">
      <c r="A11" s="12" t="s">
        <v>80</v>
      </c>
      <c r="B11" s="43" t="s">
        <v>11</v>
      </c>
      <c r="C11" s="13">
        <v>100000</v>
      </c>
      <c r="D11" s="105">
        <v>100000</v>
      </c>
      <c r="E11" s="105"/>
      <c r="F11" s="105">
        <f>SUM(D11:E11)</f>
        <v>100000</v>
      </c>
      <c r="G11" s="14" t="s">
        <v>31</v>
      </c>
      <c r="H11" s="4"/>
    </row>
    <row r="12" spans="1:9" x14ac:dyDescent="0.25">
      <c r="A12" s="12" t="s">
        <v>151</v>
      </c>
      <c r="B12" s="43" t="s">
        <v>12</v>
      </c>
      <c r="C12" s="13">
        <v>100000</v>
      </c>
      <c r="D12" s="105">
        <v>100000</v>
      </c>
      <c r="E12" s="105"/>
      <c r="F12" s="105">
        <f t="shared" ref="F12:F19" si="0">SUM(D12:E12)</f>
        <v>100000</v>
      </c>
      <c r="G12" s="14" t="s">
        <v>31</v>
      </c>
      <c r="H12" s="4"/>
    </row>
    <row r="13" spans="1:9" x14ac:dyDescent="0.25">
      <c r="A13" s="12" t="s">
        <v>151</v>
      </c>
      <c r="B13" s="43" t="s">
        <v>13</v>
      </c>
      <c r="C13" s="13">
        <v>100000</v>
      </c>
      <c r="D13" s="105">
        <v>100000</v>
      </c>
      <c r="E13" s="105"/>
      <c r="F13" s="105">
        <f t="shared" si="0"/>
        <v>100000</v>
      </c>
      <c r="G13" s="14" t="s">
        <v>31</v>
      </c>
      <c r="H13" s="4"/>
    </row>
    <row r="14" spans="1:9" x14ac:dyDescent="0.25">
      <c r="A14" s="12" t="s">
        <v>81</v>
      </c>
      <c r="B14" s="43" t="s">
        <v>14</v>
      </c>
      <c r="C14" s="13">
        <v>100000</v>
      </c>
      <c r="D14" s="105">
        <v>100000</v>
      </c>
      <c r="E14" s="105"/>
      <c r="F14" s="105">
        <f t="shared" si="0"/>
        <v>100000</v>
      </c>
      <c r="G14" s="14" t="s">
        <v>31</v>
      </c>
      <c r="H14" s="4"/>
    </row>
    <row r="15" spans="1:9" x14ac:dyDescent="0.25">
      <c r="A15" s="12" t="s">
        <v>82</v>
      </c>
      <c r="B15" s="43" t="s">
        <v>15</v>
      </c>
      <c r="C15" s="13">
        <v>100000</v>
      </c>
      <c r="D15" s="105">
        <v>100000</v>
      </c>
      <c r="E15" s="105"/>
      <c r="F15" s="105">
        <f t="shared" si="0"/>
        <v>100000</v>
      </c>
      <c r="G15" s="14" t="s">
        <v>31</v>
      </c>
      <c r="H15" s="4"/>
    </row>
    <row r="16" spans="1:9" x14ac:dyDescent="0.25">
      <c r="A16" s="12" t="s">
        <v>152</v>
      </c>
      <c r="B16" s="43" t="s">
        <v>16</v>
      </c>
      <c r="C16" s="13">
        <v>100000</v>
      </c>
      <c r="D16" s="105">
        <v>100000</v>
      </c>
      <c r="E16" s="105"/>
      <c r="F16" s="105">
        <f t="shared" si="0"/>
        <v>100000</v>
      </c>
      <c r="G16" s="14" t="s">
        <v>31</v>
      </c>
      <c r="H16" s="4"/>
    </row>
    <row r="17" spans="1:8" x14ac:dyDescent="0.25">
      <c r="A17" s="12" t="s">
        <v>153</v>
      </c>
      <c r="B17" s="43" t="s">
        <v>17</v>
      </c>
      <c r="C17" s="13">
        <v>100000</v>
      </c>
      <c r="D17" s="105">
        <v>100000</v>
      </c>
      <c r="E17" s="105"/>
      <c r="F17" s="105">
        <f t="shared" si="0"/>
        <v>100000</v>
      </c>
      <c r="G17" s="14" t="s">
        <v>31</v>
      </c>
      <c r="H17" s="4"/>
    </row>
    <row r="18" spans="1:8" x14ac:dyDescent="0.25">
      <c r="A18" s="12" t="s">
        <v>83</v>
      </c>
      <c r="B18" s="43" t="s">
        <v>18</v>
      </c>
      <c r="C18" s="13">
        <v>100000</v>
      </c>
      <c r="D18" s="105">
        <v>100000</v>
      </c>
      <c r="E18" s="105"/>
      <c r="F18" s="105">
        <f t="shared" si="0"/>
        <v>100000</v>
      </c>
      <c r="G18" s="14" t="s">
        <v>31</v>
      </c>
      <c r="H18" s="4"/>
    </row>
    <row r="19" spans="1:8" x14ac:dyDescent="0.25">
      <c r="A19" s="12" t="s">
        <v>154</v>
      </c>
      <c r="B19" s="43" t="s">
        <v>19</v>
      </c>
      <c r="C19" s="13">
        <v>100000</v>
      </c>
      <c r="D19" s="105">
        <v>100000</v>
      </c>
      <c r="E19" s="105"/>
      <c r="F19" s="105">
        <f t="shared" si="0"/>
        <v>100000</v>
      </c>
      <c r="G19" s="14" t="s">
        <v>31</v>
      </c>
      <c r="H19" s="4"/>
    </row>
    <row r="20" spans="1:8" x14ac:dyDescent="0.25">
      <c r="A20" s="12" t="s">
        <v>154</v>
      </c>
      <c r="B20" s="43" t="s">
        <v>20</v>
      </c>
      <c r="C20" s="13">
        <v>100000</v>
      </c>
      <c r="D20" s="105">
        <v>100000</v>
      </c>
      <c r="E20" s="105"/>
      <c r="F20" s="105">
        <f>SUM(D20:E20)</f>
        <v>100000</v>
      </c>
      <c r="G20" s="14" t="s">
        <v>31</v>
      </c>
      <c r="H20" s="4"/>
    </row>
    <row r="21" spans="1:8" x14ac:dyDescent="0.25">
      <c r="A21" s="12" t="s">
        <v>84</v>
      </c>
      <c r="B21" s="43" t="s">
        <v>21</v>
      </c>
      <c r="C21" s="13">
        <v>100000</v>
      </c>
      <c r="D21" s="105">
        <v>75000</v>
      </c>
      <c r="E21" s="105">
        <v>25000</v>
      </c>
      <c r="F21" s="105">
        <f>SUM(D21:E21)</f>
        <v>100000</v>
      </c>
      <c r="G21" s="14" t="s">
        <v>31</v>
      </c>
      <c r="H21" s="4"/>
    </row>
    <row r="22" spans="1:8" x14ac:dyDescent="0.25">
      <c r="A22" s="12" t="s">
        <v>85</v>
      </c>
      <c r="B22" s="43" t="s">
        <v>22</v>
      </c>
      <c r="C22" s="13">
        <v>100000</v>
      </c>
      <c r="D22" s="105">
        <v>100000</v>
      </c>
      <c r="E22" s="105"/>
      <c r="F22" s="105">
        <f t="shared" ref="F22:F26" si="1">SUM(D22:E22)</f>
        <v>100000</v>
      </c>
      <c r="G22" s="14" t="s">
        <v>31</v>
      </c>
      <c r="H22" s="4"/>
    </row>
    <row r="23" spans="1:8" x14ac:dyDescent="0.25">
      <c r="A23" s="12" t="s">
        <v>155</v>
      </c>
      <c r="B23" s="43" t="s">
        <v>23</v>
      </c>
      <c r="C23" s="13">
        <v>100000</v>
      </c>
      <c r="D23" s="105">
        <v>100000</v>
      </c>
      <c r="E23" s="105"/>
      <c r="F23" s="105">
        <f t="shared" si="1"/>
        <v>100000</v>
      </c>
      <c r="G23" s="14" t="s">
        <v>31</v>
      </c>
      <c r="H23" s="4"/>
    </row>
    <row r="24" spans="1:8" x14ac:dyDescent="0.25">
      <c r="A24" s="12" t="s">
        <v>156</v>
      </c>
      <c r="B24" s="43" t="s">
        <v>24</v>
      </c>
      <c r="C24" s="13">
        <v>100000</v>
      </c>
      <c r="D24" s="105">
        <v>100000</v>
      </c>
      <c r="E24" s="105"/>
      <c r="F24" s="105">
        <f t="shared" si="1"/>
        <v>100000</v>
      </c>
      <c r="G24" s="14" t="s">
        <v>31</v>
      </c>
      <c r="H24" s="4"/>
    </row>
    <row r="25" spans="1:8" x14ac:dyDescent="0.25">
      <c r="A25" s="12" t="s">
        <v>36</v>
      </c>
      <c r="B25" s="43" t="s">
        <v>25</v>
      </c>
      <c r="C25" s="13">
        <v>100000</v>
      </c>
      <c r="D25" s="105">
        <v>100000</v>
      </c>
      <c r="E25" s="105"/>
      <c r="F25" s="105">
        <f t="shared" si="1"/>
        <v>100000</v>
      </c>
      <c r="G25" s="14" t="s">
        <v>31</v>
      </c>
      <c r="H25" s="4"/>
    </row>
    <row r="26" spans="1:8" ht="16.5" thickBot="1" x14ac:dyDescent="0.3">
      <c r="A26" s="12" t="s">
        <v>36</v>
      </c>
      <c r="B26" s="43" t="s">
        <v>26</v>
      </c>
      <c r="C26" s="107">
        <v>100000</v>
      </c>
      <c r="D26" s="105">
        <v>100000</v>
      </c>
      <c r="E26" s="105"/>
      <c r="F26" s="105">
        <f t="shared" si="1"/>
        <v>100000</v>
      </c>
      <c r="G26" s="108" t="s">
        <v>31</v>
      </c>
      <c r="H26" s="4"/>
    </row>
    <row r="27" spans="1:8" ht="16.5" thickBot="1" x14ac:dyDescent="0.3">
      <c r="A27" s="210" t="s">
        <v>183</v>
      </c>
      <c r="B27" s="211"/>
      <c r="C27" s="109">
        <f>SUM(C7:C26)</f>
        <v>2000000</v>
      </c>
      <c r="D27" s="210" t="s">
        <v>184</v>
      </c>
      <c r="E27" s="211"/>
      <c r="F27" s="110">
        <f>SUM(F7:F26)</f>
        <v>2000000</v>
      </c>
      <c r="G27" s="111" t="s">
        <v>185</v>
      </c>
      <c r="H27" s="4"/>
    </row>
    <row r="28" spans="1:8" ht="16.5" thickBot="1" x14ac:dyDescent="0.3">
      <c r="A28" s="112"/>
      <c r="B28" s="113"/>
      <c r="C28" s="114"/>
      <c r="D28" s="210" t="s">
        <v>181</v>
      </c>
      <c r="E28" s="211"/>
      <c r="F28" s="115">
        <f>C27-F27</f>
        <v>0</v>
      </c>
      <c r="G28" s="116" t="s">
        <v>186</v>
      </c>
      <c r="H28" s="4"/>
    </row>
    <row r="29" spans="1:8" x14ac:dyDescent="0.25">
      <c r="B29" s="100"/>
      <c r="D29" s="100"/>
      <c r="E29" s="100"/>
      <c r="F29" s="100"/>
      <c r="G29" s="101"/>
      <c r="H29" s="4"/>
    </row>
    <row r="30" spans="1:8" x14ac:dyDescent="0.25">
      <c r="B30" s="100"/>
      <c r="D30" s="100"/>
      <c r="E30" s="100"/>
      <c r="F30" s="100"/>
      <c r="G30" s="101"/>
      <c r="H30" s="4"/>
    </row>
    <row r="31" spans="1:8" ht="16.5" thickBot="1" x14ac:dyDescent="0.3">
      <c r="B31" s="100"/>
      <c r="D31" s="100"/>
      <c r="E31" s="100"/>
      <c r="F31" s="100"/>
      <c r="G31" s="101"/>
      <c r="H31" s="4"/>
    </row>
    <row r="32" spans="1:8" ht="16.5" thickBot="1" x14ac:dyDescent="0.3">
      <c r="A32" s="117" t="s">
        <v>70</v>
      </c>
      <c r="B32" s="118" t="s">
        <v>71</v>
      </c>
      <c r="C32" s="118" t="s">
        <v>72</v>
      </c>
      <c r="D32" s="119" t="s">
        <v>0</v>
      </c>
      <c r="E32" s="100"/>
      <c r="F32" s="100"/>
      <c r="G32" s="101"/>
      <c r="H32" s="4"/>
    </row>
    <row r="33" spans="1:8" ht="16.5" thickBot="1" x14ac:dyDescent="0.3">
      <c r="A33" s="120" t="s">
        <v>112</v>
      </c>
      <c r="B33" s="121">
        <v>16</v>
      </c>
      <c r="C33" s="122" t="s">
        <v>113</v>
      </c>
      <c r="D33" s="123"/>
      <c r="E33" s="100"/>
      <c r="F33" s="100"/>
      <c r="G33" s="101"/>
      <c r="H33" s="4"/>
    </row>
    <row r="34" spans="1:8" ht="16.5" thickBot="1" x14ac:dyDescent="0.3">
      <c r="A34" s="117" t="s">
        <v>1</v>
      </c>
      <c r="B34" s="118" t="s">
        <v>30</v>
      </c>
      <c r="C34" s="118" t="s">
        <v>2</v>
      </c>
      <c r="D34" s="118" t="s">
        <v>3</v>
      </c>
      <c r="E34" s="118" t="s">
        <v>4</v>
      </c>
      <c r="F34" s="103" t="s">
        <v>35</v>
      </c>
      <c r="G34" s="104" t="s">
        <v>6</v>
      </c>
      <c r="H34" s="4"/>
    </row>
    <row r="35" spans="1:8" x14ac:dyDescent="0.25">
      <c r="A35" s="12" t="s">
        <v>274</v>
      </c>
      <c r="B35" s="43" t="s">
        <v>7</v>
      </c>
      <c r="C35" s="13">
        <v>100000</v>
      </c>
      <c r="D35" s="105">
        <v>100000</v>
      </c>
      <c r="E35" s="105"/>
      <c r="F35" s="105">
        <f>SUM(D35:E35)</f>
        <v>100000</v>
      </c>
      <c r="G35" s="106" t="s">
        <v>31</v>
      </c>
      <c r="H35" s="4"/>
    </row>
    <row r="36" spans="1:8" x14ac:dyDescent="0.25">
      <c r="A36" s="12" t="s">
        <v>274</v>
      </c>
      <c r="B36" s="43" t="s">
        <v>8</v>
      </c>
      <c r="C36" s="13">
        <v>100000</v>
      </c>
      <c r="D36" s="105">
        <v>100000</v>
      </c>
      <c r="E36" s="105"/>
      <c r="F36" s="105">
        <f t="shared" ref="F36:F50" si="2">SUM(D36:E36)</f>
        <v>100000</v>
      </c>
      <c r="G36" s="14" t="s">
        <v>31</v>
      </c>
      <c r="H36" s="4"/>
    </row>
    <row r="37" spans="1:8" x14ac:dyDescent="0.25">
      <c r="A37" s="12" t="s">
        <v>274</v>
      </c>
      <c r="B37" s="43" t="s">
        <v>9</v>
      </c>
      <c r="C37" s="13">
        <v>100000</v>
      </c>
      <c r="D37" s="105">
        <v>100000</v>
      </c>
      <c r="E37" s="105"/>
      <c r="F37" s="105">
        <f t="shared" si="2"/>
        <v>100000</v>
      </c>
      <c r="G37" s="14" t="s">
        <v>31</v>
      </c>
      <c r="H37" s="4"/>
    </row>
    <row r="38" spans="1:8" x14ac:dyDescent="0.25">
      <c r="A38" s="12" t="s">
        <v>275</v>
      </c>
      <c r="B38" s="43" t="s">
        <v>10</v>
      </c>
      <c r="C38" s="13">
        <v>100000</v>
      </c>
      <c r="D38" s="105">
        <v>100000</v>
      </c>
      <c r="E38" s="105"/>
      <c r="F38" s="105">
        <f t="shared" si="2"/>
        <v>100000</v>
      </c>
      <c r="G38" s="14" t="s">
        <v>31</v>
      </c>
      <c r="H38" s="4"/>
    </row>
    <row r="39" spans="1:8" x14ac:dyDescent="0.25">
      <c r="A39" s="12" t="s">
        <v>274</v>
      </c>
      <c r="B39" s="43" t="s">
        <v>11</v>
      </c>
      <c r="C39" s="13">
        <v>100000</v>
      </c>
      <c r="D39" s="105">
        <v>100000</v>
      </c>
      <c r="E39" s="105"/>
      <c r="F39" s="105">
        <f t="shared" si="2"/>
        <v>100000</v>
      </c>
      <c r="G39" s="14" t="s">
        <v>31</v>
      </c>
      <c r="H39" s="4"/>
    </row>
    <row r="40" spans="1:8" x14ac:dyDescent="0.25">
      <c r="A40" s="12" t="s">
        <v>278</v>
      </c>
      <c r="B40" s="43" t="s">
        <v>12</v>
      </c>
      <c r="C40" s="13">
        <v>100000</v>
      </c>
      <c r="D40" s="105">
        <v>100000</v>
      </c>
      <c r="E40" s="105"/>
      <c r="F40" s="105">
        <f t="shared" si="2"/>
        <v>100000</v>
      </c>
      <c r="G40" s="14" t="s">
        <v>31</v>
      </c>
      <c r="H40" s="4"/>
    </row>
    <row r="41" spans="1:8" x14ac:dyDescent="0.25">
      <c r="A41" s="12" t="s">
        <v>280</v>
      </c>
      <c r="B41" s="43" t="s">
        <v>13</v>
      </c>
      <c r="C41" s="13">
        <v>100000</v>
      </c>
      <c r="D41" s="105">
        <v>100000</v>
      </c>
      <c r="E41" s="105"/>
      <c r="F41" s="105">
        <f t="shared" si="2"/>
        <v>100000</v>
      </c>
      <c r="G41" s="14" t="s">
        <v>31</v>
      </c>
      <c r="H41" s="4"/>
    </row>
    <row r="42" spans="1:8" x14ac:dyDescent="0.25">
      <c r="A42" s="12" t="s">
        <v>281</v>
      </c>
      <c r="B42" s="43" t="s">
        <v>14</v>
      </c>
      <c r="C42" s="13">
        <v>100000</v>
      </c>
      <c r="D42" s="105">
        <v>100000</v>
      </c>
      <c r="E42" s="105"/>
      <c r="F42" s="105">
        <f t="shared" si="2"/>
        <v>100000</v>
      </c>
      <c r="G42" s="14" t="s">
        <v>31</v>
      </c>
      <c r="H42" s="4"/>
    </row>
    <row r="43" spans="1:8" x14ac:dyDescent="0.25">
      <c r="A43" s="12" t="s">
        <v>114</v>
      </c>
      <c r="B43" s="43" t="s">
        <v>15</v>
      </c>
      <c r="C43" s="13">
        <v>100000</v>
      </c>
      <c r="D43" s="105">
        <v>100000</v>
      </c>
      <c r="E43" s="105"/>
      <c r="F43" s="105">
        <f>SUM(D43:E43)</f>
        <v>100000</v>
      </c>
      <c r="G43" s="14" t="s">
        <v>31</v>
      </c>
      <c r="H43" s="4"/>
    </row>
    <row r="44" spans="1:8" x14ac:dyDescent="0.25">
      <c r="A44" s="12" t="s">
        <v>208</v>
      </c>
      <c r="B44" s="43" t="s">
        <v>16</v>
      </c>
      <c r="C44" s="13">
        <v>100000</v>
      </c>
      <c r="D44" s="105">
        <v>100000</v>
      </c>
      <c r="E44" s="105"/>
      <c r="F44" s="105">
        <f t="shared" si="2"/>
        <v>100000</v>
      </c>
      <c r="G44" s="14" t="s">
        <v>31</v>
      </c>
      <c r="H44" s="4"/>
    </row>
    <row r="45" spans="1:8" x14ac:dyDescent="0.25">
      <c r="A45" s="12" t="s">
        <v>277</v>
      </c>
      <c r="B45" s="43" t="s">
        <v>17</v>
      </c>
      <c r="C45" s="13">
        <v>100000</v>
      </c>
      <c r="D45" s="105">
        <v>100000</v>
      </c>
      <c r="E45" s="105"/>
      <c r="F45" s="105">
        <f t="shared" si="2"/>
        <v>100000</v>
      </c>
      <c r="G45" s="14" t="s">
        <v>31</v>
      </c>
      <c r="H45" s="4"/>
    </row>
    <row r="46" spans="1:8" x14ac:dyDescent="0.25">
      <c r="A46" s="12" t="s">
        <v>279</v>
      </c>
      <c r="B46" s="43" t="s">
        <v>18</v>
      </c>
      <c r="C46" s="13">
        <v>100000</v>
      </c>
      <c r="D46" s="105">
        <v>50000</v>
      </c>
      <c r="E46" s="105">
        <v>50000</v>
      </c>
      <c r="F46" s="105">
        <f t="shared" si="2"/>
        <v>100000</v>
      </c>
      <c r="G46" s="14" t="s">
        <v>31</v>
      </c>
      <c r="H46" s="4"/>
    </row>
    <row r="47" spans="1:8" x14ac:dyDescent="0.25">
      <c r="A47" s="12" t="s">
        <v>115</v>
      </c>
      <c r="B47" s="43" t="s">
        <v>19</v>
      </c>
      <c r="C47" s="13">
        <v>100000</v>
      </c>
      <c r="D47" s="105">
        <v>50000</v>
      </c>
      <c r="E47" s="105">
        <v>50000</v>
      </c>
      <c r="F47" s="105">
        <f t="shared" si="2"/>
        <v>100000</v>
      </c>
      <c r="G47" s="14" t="s">
        <v>31</v>
      </c>
      <c r="H47" s="4"/>
    </row>
    <row r="48" spans="1:8" x14ac:dyDescent="0.25">
      <c r="A48" s="12" t="s">
        <v>276</v>
      </c>
      <c r="B48" s="43" t="s">
        <v>20</v>
      </c>
      <c r="C48" s="13">
        <v>100000</v>
      </c>
      <c r="D48" s="105">
        <v>100000</v>
      </c>
      <c r="E48" s="105"/>
      <c r="F48" s="105">
        <f t="shared" si="2"/>
        <v>100000</v>
      </c>
      <c r="G48" s="14" t="s">
        <v>31</v>
      </c>
      <c r="H48" s="4"/>
    </row>
    <row r="49" spans="1:8" x14ac:dyDescent="0.25">
      <c r="A49" s="12" t="s">
        <v>207</v>
      </c>
      <c r="B49" s="43" t="s">
        <v>21</v>
      </c>
      <c r="C49" s="13">
        <v>100000</v>
      </c>
      <c r="D49" s="105">
        <v>100000</v>
      </c>
      <c r="E49" s="105"/>
      <c r="F49" s="105">
        <f t="shared" si="2"/>
        <v>100000</v>
      </c>
      <c r="G49" s="14" t="s">
        <v>31</v>
      </c>
      <c r="H49" s="4"/>
    </row>
    <row r="50" spans="1:8" ht="16.5" thickBot="1" x14ac:dyDescent="0.3">
      <c r="A50" s="12" t="s">
        <v>207</v>
      </c>
      <c r="B50" s="43" t="s">
        <v>22</v>
      </c>
      <c r="C50" s="107">
        <v>100000</v>
      </c>
      <c r="D50" s="105">
        <v>100000</v>
      </c>
      <c r="E50" s="105"/>
      <c r="F50" s="105">
        <f t="shared" si="2"/>
        <v>100000</v>
      </c>
      <c r="G50" s="14" t="s">
        <v>31</v>
      </c>
      <c r="H50" s="4"/>
    </row>
    <row r="51" spans="1:8" ht="16.5" thickBot="1" x14ac:dyDescent="0.3">
      <c r="A51" s="210" t="s">
        <v>183</v>
      </c>
      <c r="B51" s="211"/>
      <c r="C51" s="109">
        <f>SUM(C35:C50)</f>
        <v>1600000</v>
      </c>
      <c r="D51" s="210" t="s">
        <v>184</v>
      </c>
      <c r="E51" s="211"/>
      <c r="F51" s="110">
        <f>SUM(F35:F50)</f>
        <v>1600000</v>
      </c>
      <c r="G51" s="111" t="s">
        <v>185</v>
      </c>
      <c r="H51" s="4"/>
    </row>
    <row r="52" spans="1:8" ht="16.5" thickBot="1" x14ac:dyDescent="0.3">
      <c r="B52" s="100"/>
      <c r="D52" s="210" t="s">
        <v>181</v>
      </c>
      <c r="E52" s="211"/>
      <c r="F52" s="115">
        <f>C51-F51</f>
        <v>0</v>
      </c>
      <c r="G52" s="116" t="s">
        <v>186</v>
      </c>
      <c r="H52" s="4"/>
    </row>
    <row r="53" spans="1:8" x14ac:dyDescent="0.25">
      <c r="B53" s="100"/>
      <c r="D53" s="100"/>
      <c r="E53" s="100"/>
      <c r="F53" s="100"/>
      <c r="G53" s="101"/>
      <c r="H53" s="4"/>
    </row>
    <row r="54" spans="1:8" ht="21" x14ac:dyDescent="0.35">
      <c r="A54" s="96"/>
      <c r="B54" s="96"/>
      <c r="C54" s="97" t="s">
        <v>194</v>
      </c>
      <c r="D54" s="96"/>
      <c r="E54" s="96"/>
      <c r="F54" s="96"/>
      <c r="G54" s="97"/>
      <c r="H54" s="4"/>
    </row>
    <row r="55" spans="1:8" x14ac:dyDescent="0.25">
      <c r="B55" s="100"/>
      <c r="D55" s="100"/>
      <c r="E55" s="100"/>
      <c r="F55" s="100"/>
      <c r="G55" s="101"/>
      <c r="H55" s="4"/>
    </row>
    <row r="56" spans="1:8" ht="16.5" thickBot="1" x14ac:dyDescent="0.3">
      <c r="B56" s="100"/>
      <c r="D56" s="100"/>
      <c r="E56" s="100"/>
      <c r="F56" s="100"/>
      <c r="G56" s="101"/>
      <c r="H56" s="4"/>
    </row>
    <row r="57" spans="1:8" ht="16.5" thickBot="1" x14ac:dyDescent="0.3">
      <c r="A57" s="124" t="s">
        <v>70</v>
      </c>
      <c r="B57" s="125" t="s">
        <v>71</v>
      </c>
      <c r="C57" s="125" t="s">
        <v>72</v>
      </c>
      <c r="D57" s="126" t="s">
        <v>0</v>
      </c>
      <c r="E57" s="100"/>
      <c r="F57" s="100"/>
      <c r="G57" s="101"/>
      <c r="H57" s="4"/>
    </row>
    <row r="58" spans="1:8" ht="16.5" thickBot="1" x14ac:dyDescent="0.3">
      <c r="A58" s="120" t="s">
        <v>116</v>
      </c>
      <c r="B58" s="121">
        <v>20</v>
      </c>
      <c r="C58" s="127" t="s">
        <v>117</v>
      </c>
      <c r="D58" s="123"/>
      <c r="E58" s="100"/>
      <c r="F58" s="100"/>
      <c r="G58" s="101"/>
      <c r="H58" s="4"/>
    </row>
    <row r="59" spans="1:8" ht="16.5" thickBot="1" x14ac:dyDescent="0.3">
      <c r="A59" s="117" t="s">
        <v>1</v>
      </c>
      <c r="B59" s="118" t="s">
        <v>30</v>
      </c>
      <c r="C59" s="118" t="s">
        <v>2</v>
      </c>
      <c r="D59" s="118" t="s">
        <v>3</v>
      </c>
      <c r="E59" s="118" t="s">
        <v>4</v>
      </c>
      <c r="F59" s="103" t="s">
        <v>35</v>
      </c>
      <c r="G59" s="128" t="s">
        <v>6</v>
      </c>
      <c r="H59" s="4"/>
    </row>
    <row r="60" spans="1:8" x14ac:dyDescent="0.25">
      <c r="A60" s="12" t="s">
        <v>118</v>
      </c>
      <c r="B60" s="43" t="s">
        <v>7</v>
      </c>
      <c r="C60" s="13">
        <v>100000</v>
      </c>
      <c r="D60" s="105">
        <v>62500</v>
      </c>
      <c r="E60" s="105"/>
      <c r="F60" s="105">
        <f>SUM(D60:E60)</f>
        <v>62500</v>
      </c>
      <c r="G60" s="14"/>
      <c r="H60" s="4"/>
    </row>
    <row r="61" spans="1:8" x14ac:dyDescent="0.25">
      <c r="A61" s="12" t="s">
        <v>118</v>
      </c>
      <c r="B61" s="43" t="s">
        <v>8</v>
      </c>
      <c r="C61" s="13">
        <v>100000</v>
      </c>
      <c r="D61" s="105">
        <v>62500</v>
      </c>
      <c r="E61" s="105"/>
      <c r="F61" s="105">
        <f t="shared" ref="F61:F74" si="3">SUM(D61:E61)</f>
        <v>62500</v>
      </c>
      <c r="G61" s="14"/>
      <c r="H61" s="4"/>
    </row>
    <row r="62" spans="1:8" x14ac:dyDescent="0.25">
      <c r="A62" s="12" t="s">
        <v>118</v>
      </c>
      <c r="B62" s="43" t="s">
        <v>9</v>
      </c>
      <c r="C62" s="13">
        <v>100000</v>
      </c>
      <c r="D62" s="105">
        <v>62500</v>
      </c>
      <c r="E62" s="105"/>
      <c r="F62" s="105">
        <f t="shared" si="3"/>
        <v>62500</v>
      </c>
      <c r="G62" s="14"/>
      <c r="H62" s="4"/>
    </row>
    <row r="63" spans="1:8" x14ac:dyDescent="0.25">
      <c r="A63" s="12"/>
      <c r="B63" s="43" t="s">
        <v>10</v>
      </c>
      <c r="C63" s="13">
        <v>100000</v>
      </c>
      <c r="D63" s="105"/>
      <c r="E63" s="105"/>
      <c r="F63" s="105">
        <f t="shared" si="3"/>
        <v>0</v>
      </c>
      <c r="G63" s="14"/>
      <c r="H63" s="4"/>
    </row>
    <row r="64" spans="1:8" x14ac:dyDescent="0.25">
      <c r="A64" s="12"/>
      <c r="B64" s="43" t="s">
        <v>11</v>
      </c>
      <c r="C64" s="13">
        <v>100000</v>
      </c>
      <c r="D64" s="105"/>
      <c r="E64" s="105"/>
      <c r="F64" s="105">
        <f t="shared" si="3"/>
        <v>0</v>
      </c>
      <c r="G64" s="14"/>
      <c r="H64" s="4"/>
    </row>
    <row r="65" spans="1:8" x14ac:dyDescent="0.25">
      <c r="A65" s="12"/>
      <c r="B65" s="43" t="s">
        <v>12</v>
      </c>
      <c r="C65" s="13">
        <v>100000</v>
      </c>
      <c r="D65" s="105"/>
      <c r="E65" s="105"/>
      <c r="F65" s="105">
        <f t="shared" si="3"/>
        <v>0</v>
      </c>
      <c r="G65" s="14"/>
      <c r="H65" s="4"/>
    </row>
    <row r="66" spans="1:8" x14ac:dyDescent="0.25">
      <c r="A66" s="12" t="s">
        <v>119</v>
      </c>
      <c r="B66" s="43" t="s">
        <v>13</v>
      </c>
      <c r="C66" s="13">
        <v>100000</v>
      </c>
      <c r="D66" s="105">
        <v>100000</v>
      </c>
      <c r="E66" s="105"/>
      <c r="F66" s="105">
        <f t="shared" si="3"/>
        <v>100000</v>
      </c>
      <c r="G66" s="14" t="s">
        <v>31</v>
      </c>
      <c r="H66" s="4"/>
    </row>
    <row r="67" spans="1:8" x14ac:dyDescent="0.25">
      <c r="A67" s="12" t="s">
        <v>119</v>
      </c>
      <c r="B67" s="43" t="s">
        <v>14</v>
      </c>
      <c r="C67" s="13">
        <v>100000</v>
      </c>
      <c r="D67" s="105">
        <v>100000</v>
      </c>
      <c r="E67" s="105"/>
      <c r="F67" s="105">
        <f t="shared" si="3"/>
        <v>100000</v>
      </c>
      <c r="G67" s="14" t="s">
        <v>31</v>
      </c>
      <c r="H67" s="4"/>
    </row>
    <row r="68" spans="1:8" x14ac:dyDescent="0.25">
      <c r="A68" s="12" t="s">
        <v>119</v>
      </c>
      <c r="B68" s="43" t="s">
        <v>15</v>
      </c>
      <c r="C68" s="13">
        <v>100000</v>
      </c>
      <c r="D68" s="105">
        <v>50000</v>
      </c>
      <c r="E68" s="105"/>
      <c r="F68" s="105">
        <f t="shared" si="3"/>
        <v>50000</v>
      </c>
      <c r="G68" s="14"/>
      <c r="H68" s="4"/>
    </row>
    <row r="69" spans="1:8" x14ac:dyDescent="0.25">
      <c r="A69" s="12" t="s">
        <v>119</v>
      </c>
      <c r="B69" s="43" t="s">
        <v>16</v>
      </c>
      <c r="C69" s="13">
        <v>100000</v>
      </c>
      <c r="D69" s="105"/>
      <c r="E69" s="105"/>
      <c r="F69" s="105">
        <f t="shared" si="3"/>
        <v>0</v>
      </c>
      <c r="G69" s="14"/>
      <c r="H69" s="4"/>
    </row>
    <row r="70" spans="1:8" x14ac:dyDescent="0.25">
      <c r="A70" s="12"/>
      <c r="B70" s="43" t="s">
        <v>17</v>
      </c>
      <c r="C70" s="13">
        <v>100000</v>
      </c>
      <c r="D70" s="105"/>
      <c r="E70" s="105"/>
      <c r="F70" s="105">
        <f t="shared" si="3"/>
        <v>0</v>
      </c>
      <c r="G70" s="14"/>
      <c r="H70" s="4"/>
    </row>
    <row r="71" spans="1:8" x14ac:dyDescent="0.25">
      <c r="A71" s="12"/>
      <c r="B71" s="43" t="s">
        <v>18</v>
      </c>
      <c r="C71" s="13">
        <v>100000</v>
      </c>
      <c r="D71" s="105"/>
      <c r="E71" s="105"/>
      <c r="F71" s="105">
        <f t="shared" si="3"/>
        <v>0</v>
      </c>
      <c r="G71" s="14"/>
      <c r="H71" s="4"/>
    </row>
    <row r="72" spans="1:8" x14ac:dyDescent="0.25">
      <c r="A72" s="12"/>
      <c r="B72" s="43" t="s">
        <v>19</v>
      </c>
      <c r="C72" s="13">
        <v>100000</v>
      </c>
      <c r="D72" s="105"/>
      <c r="E72" s="105"/>
      <c r="F72" s="105">
        <f t="shared" si="3"/>
        <v>0</v>
      </c>
      <c r="G72" s="14"/>
      <c r="H72" s="4"/>
    </row>
    <row r="73" spans="1:8" x14ac:dyDescent="0.25">
      <c r="A73" s="12"/>
      <c r="B73" s="43" t="s">
        <v>20</v>
      </c>
      <c r="C73" s="13">
        <v>100000</v>
      </c>
      <c r="D73" s="105"/>
      <c r="E73" s="105"/>
      <c r="F73" s="105">
        <f t="shared" si="3"/>
        <v>0</v>
      </c>
      <c r="G73" s="14"/>
      <c r="H73" s="4"/>
    </row>
    <row r="74" spans="1:8" x14ac:dyDescent="0.25">
      <c r="A74" s="12"/>
      <c r="B74" s="43" t="s">
        <v>21</v>
      </c>
      <c r="C74" s="13">
        <v>100000</v>
      </c>
      <c r="D74" s="105"/>
      <c r="E74" s="105"/>
      <c r="F74" s="105">
        <f t="shared" si="3"/>
        <v>0</v>
      </c>
      <c r="G74" s="14"/>
      <c r="H74" s="4"/>
    </row>
    <row r="75" spans="1:8" x14ac:dyDescent="0.25">
      <c r="A75" s="12" t="s">
        <v>273</v>
      </c>
      <c r="B75" s="43" t="s">
        <v>22</v>
      </c>
      <c r="C75" s="13">
        <v>100000</v>
      </c>
      <c r="D75" s="105"/>
      <c r="E75" s="105"/>
      <c r="F75" s="105">
        <f>SUM(D75:E75)</f>
        <v>0</v>
      </c>
      <c r="G75" s="14"/>
      <c r="H75" s="4"/>
    </row>
    <row r="76" spans="1:8" x14ac:dyDescent="0.25">
      <c r="A76" s="12"/>
      <c r="B76" s="43" t="s">
        <v>23</v>
      </c>
      <c r="C76" s="13">
        <v>100000</v>
      </c>
      <c r="D76" s="105"/>
      <c r="E76" s="105"/>
      <c r="F76" s="105">
        <f t="shared" ref="F76:F79" si="4">SUM(D76:E76)</f>
        <v>0</v>
      </c>
      <c r="G76" s="14"/>
      <c r="H76" s="4"/>
    </row>
    <row r="77" spans="1:8" x14ac:dyDescent="0.25">
      <c r="A77" s="12"/>
      <c r="B77" s="43" t="s">
        <v>24</v>
      </c>
      <c r="C77" s="13">
        <v>100000</v>
      </c>
      <c r="D77" s="105"/>
      <c r="E77" s="105"/>
      <c r="F77" s="105">
        <f t="shared" si="4"/>
        <v>0</v>
      </c>
      <c r="G77" s="14"/>
      <c r="H77" s="4"/>
    </row>
    <row r="78" spans="1:8" x14ac:dyDescent="0.25">
      <c r="A78" s="12"/>
      <c r="B78" s="43" t="s">
        <v>25</v>
      </c>
      <c r="C78" s="13">
        <v>100000</v>
      </c>
      <c r="D78" s="105"/>
      <c r="E78" s="105"/>
      <c r="F78" s="105">
        <f t="shared" si="4"/>
        <v>0</v>
      </c>
      <c r="G78" s="14"/>
      <c r="H78" s="4"/>
    </row>
    <row r="79" spans="1:8" ht="16.5" thickBot="1" x14ac:dyDescent="0.3">
      <c r="A79" s="12"/>
      <c r="B79" s="43" t="s">
        <v>26</v>
      </c>
      <c r="C79" s="107">
        <v>100000</v>
      </c>
      <c r="D79" s="105"/>
      <c r="E79" s="105"/>
      <c r="F79" s="105">
        <f t="shared" si="4"/>
        <v>0</v>
      </c>
      <c r="G79" s="14"/>
      <c r="H79" s="4"/>
    </row>
    <row r="80" spans="1:8" ht="16.5" thickBot="1" x14ac:dyDescent="0.3">
      <c r="A80" s="210" t="s">
        <v>183</v>
      </c>
      <c r="B80" s="211"/>
      <c r="C80" s="109">
        <f>SUM(C60:C79)</f>
        <v>2000000</v>
      </c>
      <c r="D80" s="210" t="s">
        <v>184</v>
      </c>
      <c r="E80" s="211"/>
      <c r="F80" s="110">
        <f>SUM(F60:F79)</f>
        <v>437500</v>
      </c>
      <c r="G80" s="101"/>
      <c r="H80" s="4"/>
    </row>
    <row r="81" spans="1:8" ht="16.5" thickBot="1" x14ac:dyDescent="0.3">
      <c r="A81" s="112"/>
      <c r="B81" s="113"/>
      <c r="C81" s="114"/>
      <c r="D81" s="210" t="s">
        <v>181</v>
      </c>
      <c r="E81" s="211"/>
      <c r="F81" s="115">
        <f>C80-F80</f>
        <v>1562500</v>
      </c>
      <c r="G81" s="101"/>
      <c r="H81" s="4"/>
    </row>
    <row r="82" spans="1:8" x14ac:dyDescent="0.25">
      <c r="B82" s="100"/>
      <c r="D82" s="100"/>
      <c r="E82" s="100"/>
      <c r="F82" s="100"/>
      <c r="G82" s="101"/>
      <c r="H82" s="4"/>
    </row>
    <row r="83" spans="1:8" x14ac:dyDescent="0.25">
      <c r="B83" s="100"/>
      <c r="D83" s="100"/>
      <c r="E83" s="100"/>
      <c r="F83" s="100"/>
      <c r="G83" s="101"/>
      <c r="H83" s="4"/>
    </row>
    <row r="84" spans="1:8" ht="16.5" thickBot="1" x14ac:dyDescent="0.3">
      <c r="B84" s="100"/>
      <c r="D84" s="100"/>
      <c r="E84" s="100"/>
      <c r="F84" s="100"/>
      <c r="G84" s="101"/>
      <c r="H84" s="4"/>
    </row>
    <row r="85" spans="1:8" ht="16.5" thickBot="1" x14ac:dyDescent="0.3">
      <c r="A85" s="117" t="s">
        <v>70</v>
      </c>
      <c r="B85" s="118" t="s">
        <v>71</v>
      </c>
      <c r="C85" s="118" t="s">
        <v>72</v>
      </c>
      <c r="D85" s="119" t="s">
        <v>0</v>
      </c>
      <c r="E85" s="100"/>
      <c r="F85" s="100"/>
      <c r="G85" s="101"/>
      <c r="H85" s="4"/>
    </row>
    <row r="86" spans="1:8" ht="16.5" thickBot="1" x14ac:dyDescent="0.3">
      <c r="A86" s="120" t="s">
        <v>120</v>
      </c>
      <c r="B86" s="121">
        <v>20</v>
      </c>
      <c r="C86" s="127" t="s">
        <v>121</v>
      </c>
      <c r="D86" s="123"/>
      <c r="E86" s="100"/>
      <c r="F86" s="100"/>
      <c r="G86" s="101"/>
      <c r="H86" s="4"/>
    </row>
    <row r="87" spans="1:8" ht="16.5" thickBot="1" x14ac:dyDescent="0.3">
      <c r="A87" s="117" t="s">
        <v>1</v>
      </c>
      <c r="B87" s="118" t="s">
        <v>30</v>
      </c>
      <c r="C87" s="118" t="s">
        <v>2</v>
      </c>
      <c r="D87" s="118" t="s">
        <v>3</v>
      </c>
      <c r="E87" s="118" t="s">
        <v>4</v>
      </c>
      <c r="F87" s="103" t="s">
        <v>35</v>
      </c>
      <c r="G87" s="128" t="s">
        <v>6</v>
      </c>
      <c r="H87" s="4"/>
    </row>
    <row r="88" spans="1:8" x14ac:dyDescent="0.25">
      <c r="A88" s="129"/>
      <c r="B88" s="130" t="s">
        <v>7</v>
      </c>
      <c r="C88" s="131">
        <v>100000</v>
      </c>
      <c r="D88" s="105"/>
      <c r="E88" s="105"/>
      <c r="F88" s="105">
        <f>SUM(D88:E88)</f>
        <v>0</v>
      </c>
      <c r="G88" s="132"/>
      <c r="H88" s="4"/>
    </row>
    <row r="89" spans="1:8" x14ac:dyDescent="0.25">
      <c r="A89" s="129"/>
      <c r="B89" s="130" t="s">
        <v>8</v>
      </c>
      <c r="C89" s="131">
        <v>100000</v>
      </c>
      <c r="D89" s="105"/>
      <c r="E89" s="105"/>
      <c r="F89" s="105">
        <f t="shared" ref="F89:F107" si="5">SUM(D89:E89)</f>
        <v>0</v>
      </c>
      <c r="G89" s="132"/>
      <c r="H89" s="4"/>
    </row>
    <row r="90" spans="1:8" x14ac:dyDescent="0.25">
      <c r="A90" s="129"/>
      <c r="B90" s="130" t="s">
        <v>9</v>
      </c>
      <c r="C90" s="131">
        <v>100000</v>
      </c>
      <c r="D90" s="105"/>
      <c r="E90" s="105"/>
      <c r="F90" s="105">
        <f t="shared" si="5"/>
        <v>0</v>
      </c>
      <c r="G90" s="132"/>
      <c r="H90" s="4"/>
    </row>
    <row r="91" spans="1:8" x14ac:dyDescent="0.25">
      <c r="A91" s="129"/>
      <c r="B91" s="130" t="s">
        <v>10</v>
      </c>
      <c r="C91" s="131">
        <v>100000</v>
      </c>
      <c r="D91" s="105"/>
      <c r="E91" s="105"/>
      <c r="F91" s="105">
        <f t="shared" si="5"/>
        <v>0</v>
      </c>
      <c r="G91" s="132"/>
      <c r="H91" s="4"/>
    </row>
    <row r="92" spans="1:8" x14ac:dyDescent="0.25">
      <c r="A92" s="129"/>
      <c r="B92" s="130" t="s">
        <v>11</v>
      </c>
      <c r="C92" s="131">
        <v>100000</v>
      </c>
      <c r="D92" s="105"/>
      <c r="E92" s="105"/>
      <c r="F92" s="105">
        <f t="shared" si="5"/>
        <v>0</v>
      </c>
      <c r="G92" s="132"/>
      <c r="H92" s="4"/>
    </row>
    <row r="93" spans="1:8" x14ac:dyDescent="0.25">
      <c r="A93" s="129"/>
      <c r="B93" s="130" t="s">
        <v>12</v>
      </c>
      <c r="C93" s="131">
        <v>100000</v>
      </c>
      <c r="D93" s="105"/>
      <c r="E93" s="105"/>
      <c r="F93" s="105">
        <f t="shared" si="5"/>
        <v>0</v>
      </c>
      <c r="G93" s="132"/>
      <c r="H93" s="4"/>
    </row>
    <row r="94" spans="1:8" x14ac:dyDescent="0.25">
      <c r="A94" s="129"/>
      <c r="B94" s="130" t="s">
        <v>13</v>
      </c>
      <c r="C94" s="131">
        <v>100000</v>
      </c>
      <c r="D94" s="105"/>
      <c r="E94" s="105"/>
      <c r="F94" s="105">
        <f t="shared" si="5"/>
        <v>0</v>
      </c>
      <c r="G94" s="132"/>
      <c r="H94" s="4"/>
    </row>
    <row r="95" spans="1:8" x14ac:dyDescent="0.25">
      <c r="A95" s="129"/>
      <c r="B95" s="130" t="s">
        <v>14</v>
      </c>
      <c r="C95" s="131">
        <v>100000</v>
      </c>
      <c r="D95" s="105"/>
      <c r="E95" s="105"/>
      <c r="F95" s="105">
        <f t="shared" si="5"/>
        <v>0</v>
      </c>
      <c r="G95" s="132"/>
      <c r="H95" s="4"/>
    </row>
    <row r="96" spans="1:8" x14ac:dyDescent="0.25">
      <c r="A96" s="129"/>
      <c r="B96" s="130" t="s">
        <v>15</v>
      </c>
      <c r="C96" s="131">
        <v>100000</v>
      </c>
      <c r="D96" s="105"/>
      <c r="E96" s="105"/>
      <c r="F96" s="105">
        <f t="shared" si="5"/>
        <v>0</v>
      </c>
      <c r="G96" s="132"/>
      <c r="H96" s="4"/>
    </row>
    <row r="97" spans="1:8" x14ac:dyDescent="0.25">
      <c r="A97" s="129"/>
      <c r="B97" s="130" t="s">
        <v>16</v>
      </c>
      <c r="C97" s="131">
        <v>100000</v>
      </c>
      <c r="D97" s="105"/>
      <c r="E97" s="105"/>
      <c r="F97" s="105">
        <f t="shared" si="5"/>
        <v>0</v>
      </c>
      <c r="G97" s="132"/>
      <c r="H97" s="4"/>
    </row>
    <row r="98" spans="1:8" x14ac:dyDescent="0.25">
      <c r="A98" s="129"/>
      <c r="B98" s="130" t="s">
        <v>17</v>
      </c>
      <c r="C98" s="131">
        <v>100000</v>
      </c>
      <c r="D98" s="105"/>
      <c r="E98" s="105"/>
      <c r="F98" s="105">
        <f t="shared" si="5"/>
        <v>0</v>
      </c>
      <c r="G98" s="132"/>
      <c r="H98" s="4"/>
    </row>
    <row r="99" spans="1:8" x14ac:dyDescent="0.25">
      <c r="A99" s="129"/>
      <c r="B99" s="130" t="s">
        <v>18</v>
      </c>
      <c r="C99" s="131">
        <v>100000</v>
      </c>
      <c r="D99" s="105"/>
      <c r="E99" s="105"/>
      <c r="F99" s="105">
        <f t="shared" si="5"/>
        <v>0</v>
      </c>
      <c r="G99" s="132"/>
      <c r="H99" s="4"/>
    </row>
    <row r="100" spans="1:8" x14ac:dyDescent="0.25">
      <c r="A100" s="129"/>
      <c r="B100" s="130" t="s">
        <v>19</v>
      </c>
      <c r="C100" s="131">
        <v>100000</v>
      </c>
      <c r="D100" s="105"/>
      <c r="E100" s="105"/>
      <c r="F100" s="105">
        <f t="shared" si="5"/>
        <v>0</v>
      </c>
      <c r="G100" s="132"/>
      <c r="H100" s="4"/>
    </row>
    <row r="101" spans="1:8" x14ac:dyDescent="0.25">
      <c r="A101" s="129" t="s">
        <v>272</v>
      </c>
      <c r="B101" s="130" t="s">
        <v>20</v>
      </c>
      <c r="C101" s="131">
        <v>100000</v>
      </c>
      <c r="D101" s="105"/>
      <c r="E101" s="105"/>
      <c r="F101" s="105">
        <f t="shared" si="5"/>
        <v>0</v>
      </c>
      <c r="G101" s="132"/>
      <c r="H101" s="4"/>
    </row>
    <row r="102" spans="1:8" x14ac:dyDescent="0.25">
      <c r="A102" s="129" t="s">
        <v>272</v>
      </c>
      <c r="B102" s="130" t="s">
        <v>21</v>
      </c>
      <c r="C102" s="131">
        <v>100000</v>
      </c>
      <c r="D102" s="105"/>
      <c r="E102" s="105"/>
      <c r="F102" s="105">
        <f t="shared" si="5"/>
        <v>0</v>
      </c>
      <c r="G102" s="132"/>
      <c r="H102" s="4"/>
    </row>
    <row r="103" spans="1:8" x14ac:dyDescent="0.25">
      <c r="A103" s="129"/>
      <c r="B103" s="130" t="s">
        <v>22</v>
      </c>
      <c r="C103" s="131">
        <v>100000</v>
      </c>
      <c r="D103" s="105"/>
      <c r="E103" s="105"/>
      <c r="F103" s="105">
        <f t="shared" si="5"/>
        <v>0</v>
      </c>
      <c r="G103" s="132"/>
      <c r="H103" s="4"/>
    </row>
    <row r="104" spans="1:8" x14ac:dyDescent="0.25">
      <c r="A104" s="129"/>
      <c r="B104" s="130" t="s">
        <v>23</v>
      </c>
      <c r="C104" s="131">
        <v>100000</v>
      </c>
      <c r="D104" s="105"/>
      <c r="E104" s="105"/>
      <c r="F104" s="105">
        <f t="shared" si="5"/>
        <v>0</v>
      </c>
      <c r="G104" s="132"/>
      <c r="H104" s="4"/>
    </row>
    <row r="105" spans="1:8" x14ac:dyDescent="0.25">
      <c r="A105" s="129"/>
      <c r="B105" s="130" t="s">
        <v>24</v>
      </c>
      <c r="C105" s="131">
        <v>100000</v>
      </c>
      <c r="D105" s="105"/>
      <c r="E105" s="105"/>
      <c r="F105" s="105">
        <f t="shared" si="5"/>
        <v>0</v>
      </c>
      <c r="G105" s="132"/>
      <c r="H105" s="4"/>
    </row>
    <row r="106" spans="1:8" x14ac:dyDescent="0.25">
      <c r="A106" s="129"/>
      <c r="B106" s="130" t="s">
        <v>25</v>
      </c>
      <c r="C106" s="131">
        <v>100000</v>
      </c>
      <c r="D106" s="105"/>
      <c r="E106" s="105"/>
      <c r="F106" s="105">
        <f t="shared" si="5"/>
        <v>0</v>
      </c>
      <c r="G106" s="132"/>
      <c r="H106" s="4"/>
    </row>
    <row r="107" spans="1:8" ht="16.5" thickBot="1" x14ac:dyDescent="0.3">
      <c r="A107" s="129"/>
      <c r="B107" s="130" t="s">
        <v>26</v>
      </c>
      <c r="C107" s="133">
        <v>100000</v>
      </c>
      <c r="D107" s="105"/>
      <c r="E107" s="105"/>
      <c r="F107" s="105">
        <f t="shared" si="5"/>
        <v>0</v>
      </c>
      <c r="G107" s="132"/>
      <c r="H107" s="4"/>
    </row>
    <row r="108" spans="1:8" ht="16.5" thickBot="1" x14ac:dyDescent="0.3">
      <c r="A108" s="210" t="s">
        <v>183</v>
      </c>
      <c r="B108" s="211"/>
      <c r="C108" s="109">
        <f>SUM(C88:C107)</f>
        <v>2000000</v>
      </c>
      <c r="D108" s="210" t="s">
        <v>184</v>
      </c>
      <c r="E108" s="211"/>
      <c r="F108" s="110">
        <f>SUM(F88:F107)</f>
        <v>0</v>
      </c>
      <c r="G108" s="101"/>
      <c r="H108" s="4"/>
    </row>
    <row r="109" spans="1:8" ht="16.5" thickBot="1" x14ac:dyDescent="0.3">
      <c r="B109" s="100"/>
      <c r="D109" s="210" t="s">
        <v>181</v>
      </c>
      <c r="E109" s="211"/>
      <c r="F109" s="115">
        <f>C108-F108</f>
        <v>2000000</v>
      </c>
      <c r="G109" s="101"/>
    </row>
    <row r="110" spans="1:8" x14ac:dyDescent="0.25">
      <c r="B110" s="100"/>
      <c r="G110" s="99"/>
    </row>
    <row r="111" spans="1:8" ht="21" x14ac:dyDescent="0.35">
      <c r="A111" s="96"/>
      <c r="B111" s="96"/>
      <c r="C111" s="97" t="s">
        <v>194</v>
      </c>
      <c r="D111" s="96"/>
      <c r="E111" s="96"/>
      <c r="F111" s="96"/>
      <c r="G111" s="97"/>
      <c r="H111" s="4"/>
    </row>
    <row r="112" spans="1:8" x14ac:dyDescent="0.25">
      <c r="B112" s="100"/>
      <c r="D112" s="100"/>
      <c r="E112" s="100"/>
      <c r="G112" s="99"/>
      <c r="H112" s="4"/>
    </row>
    <row r="113" spans="1:8" ht="16.5" thickBot="1" x14ac:dyDescent="0.3">
      <c r="B113" s="100"/>
      <c r="D113" s="100"/>
      <c r="E113" s="100"/>
      <c r="G113" s="99"/>
      <c r="H113" s="4"/>
    </row>
    <row r="114" spans="1:8" ht="16.5" thickBot="1" x14ac:dyDescent="0.3">
      <c r="A114" s="117" t="s">
        <v>70</v>
      </c>
      <c r="B114" s="118" t="s">
        <v>71</v>
      </c>
      <c r="C114" s="118" t="s">
        <v>72</v>
      </c>
      <c r="D114" s="119" t="s">
        <v>0</v>
      </c>
      <c r="E114" s="100"/>
      <c r="F114" s="100"/>
      <c r="G114" s="101"/>
      <c r="H114" s="4"/>
    </row>
    <row r="115" spans="1:8" ht="16.5" thickBot="1" x14ac:dyDescent="0.3">
      <c r="A115" s="120" t="s">
        <v>122</v>
      </c>
      <c r="B115" s="121">
        <v>20</v>
      </c>
      <c r="C115" s="127" t="s">
        <v>123</v>
      </c>
      <c r="D115" s="123"/>
      <c r="E115" s="100"/>
      <c r="F115" s="100"/>
      <c r="G115" s="101"/>
      <c r="H115" s="4"/>
    </row>
    <row r="116" spans="1:8" ht="16.5" thickBot="1" x14ac:dyDescent="0.3">
      <c r="A116" s="117" t="s">
        <v>1</v>
      </c>
      <c r="B116" s="118" t="s">
        <v>30</v>
      </c>
      <c r="C116" s="118" t="s">
        <v>2</v>
      </c>
      <c r="D116" s="118" t="s">
        <v>3</v>
      </c>
      <c r="E116" s="118" t="s">
        <v>4</v>
      </c>
      <c r="F116" s="103" t="s">
        <v>35</v>
      </c>
      <c r="G116" s="128" t="s">
        <v>6</v>
      </c>
      <c r="H116" s="4"/>
    </row>
    <row r="117" spans="1:8" x14ac:dyDescent="0.25">
      <c r="A117" s="12"/>
      <c r="B117" s="43" t="s">
        <v>7</v>
      </c>
      <c r="C117" s="13">
        <v>100000</v>
      </c>
      <c r="D117" s="105"/>
      <c r="E117" s="105"/>
      <c r="F117" s="105">
        <f>SUM(D117:E117)</f>
        <v>0</v>
      </c>
      <c r="G117" s="14"/>
      <c r="H117" s="4"/>
    </row>
    <row r="118" spans="1:8" x14ac:dyDescent="0.25">
      <c r="A118" s="12"/>
      <c r="B118" s="43" t="s">
        <v>8</v>
      </c>
      <c r="C118" s="13">
        <v>100000</v>
      </c>
      <c r="D118" s="105"/>
      <c r="E118" s="105"/>
      <c r="F118" s="105">
        <f t="shared" ref="F118:F136" si="6">SUM(D118:E118)</f>
        <v>0</v>
      </c>
      <c r="G118" s="14"/>
      <c r="H118" s="4"/>
    </row>
    <row r="119" spans="1:8" x14ac:dyDescent="0.25">
      <c r="A119" s="12"/>
      <c r="B119" s="43" t="s">
        <v>9</v>
      </c>
      <c r="C119" s="13">
        <v>100000</v>
      </c>
      <c r="D119" s="105"/>
      <c r="E119" s="105"/>
      <c r="F119" s="105">
        <f t="shared" si="6"/>
        <v>0</v>
      </c>
      <c r="G119" s="14"/>
      <c r="H119" s="4"/>
    </row>
    <row r="120" spans="1:8" x14ac:dyDescent="0.25">
      <c r="A120" s="12"/>
      <c r="B120" s="43" t="s">
        <v>10</v>
      </c>
      <c r="C120" s="13">
        <v>100000</v>
      </c>
      <c r="D120" s="105"/>
      <c r="E120" s="105"/>
      <c r="F120" s="105">
        <f t="shared" si="6"/>
        <v>0</v>
      </c>
      <c r="G120" s="14"/>
      <c r="H120" s="4"/>
    </row>
    <row r="121" spans="1:8" x14ac:dyDescent="0.25">
      <c r="A121" s="12"/>
      <c r="B121" s="43" t="s">
        <v>11</v>
      </c>
      <c r="C121" s="13">
        <v>100000</v>
      </c>
      <c r="D121" s="105"/>
      <c r="E121" s="105"/>
      <c r="F121" s="105">
        <f t="shared" si="6"/>
        <v>0</v>
      </c>
      <c r="G121" s="14"/>
      <c r="H121" s="4"/>
    </row>
    <row r="122" spans="1:8" x14ac:dyDescent="0.25">
      <c r="A122" s="12"/>
      <c r="B122" s="43" t="s">
        <v>12</v>
      </c>
      <c r="C122" s="13">
        <v>100000</v>
      </c>
      <c r="D122" s="105"/>
      <c r="E122" s="105"/>
      <c r="F122" s="105">
        <f t="shared" si="6"/>
        <v>0</v>
      </c>
      <c r="G122" s="14"/>
      <c r="H122" s="4"/>
    </row>
    <row r="123" spans="1:8" x14ac:dyDescent="0.25">
      <c r="A123" s="12" t="s">
        <v>124</v>
      </c>
      <c r="B123" s="43" t="s">
        <v>13</v>
      </c>
      <c r="C123" s="13">
        <v>100000</v>
      </c>
      <c r="D123" s="105">
        <v>100000</v>
      </c>
      <c r="E123" s="105"/>
      <c r="F123" s="105">
        <f t="shared" si="6"/>
        <v>100000</v>
      </c>
      <c r="G123" s="14" t="s">
        <v>31</v>
      </c>
      <c r="H123" s="4"/>
    </row>
    <row r="124" spans="1:8" x14ac:dyDescent="0.25">
      <c r="A124" s="12"/>
      <c r="B124" s="43" t="s">
        <v>14</v>
      </c>
      <c r="C124" s="13">
        <v>100000</v>
      </c>
      <c r="D124" s="105"/>
      <c r="E124" s="105"/>
      <c r="F124" s="105">
        <f t="shared" si="6"/>
        <v>0</v>
      </c>
      <c r="G124" s="14"/>
      <c r="H124" s="4"/>
    </row>
    <row r="125" spans="1:8" x14ac:dyDescent="0.25">
      <c r="A125" s="12"/>
      <c r="B125" s="43" t="s">
        <v>15</v>
      </c>
      <c r="C125" s="13">
        <v>100000</v>
      </c>
      <c r="D125" s="105"/>
      <c r="E125" s="105"/>
      <c r="F125" s="105">
        <f t="shared" si="6"/>
        <v>0</v>
      </c>
      <c r="G125" s="14"/>
      <c r="H125" s="4"/>
    </row>
    <row r="126" spans="1:8" x14ac:dyDescent="0.25">
      <c r="A126" s="12"/>
      <c r="B126" s="43" t="s">
        <v>16</v>
      </c>
      <c r="C126" s="13">
        <v>100000</v>
      </c>
      <c r="D126" s="105"/>
      <c r="E126" s="105"/>
      <c r="F126" s="105">
        <f t="shared" si="6"/>
        <v>0</v>
      </c>
      <c r="G126" s="14"/>
      <c r="H126" s="4"/>
    </row>
    <row r="127" spans="1:8" x14ac:dyDescent="0.25">
      <c r="A127" s="12" t="s">
        <v>270</v>
      </c>
      <c r="B127" s="43" t="s">
        <v>17</v>
      </c>
      <c r="C127" s="13">
        <v>100000</v>
      </c>
      <c r="D127" s="105"/>
      <c r="E127" s="105"/>
      <c r="F127" s="105">
        <f t="shared" si="6"/>
        <v>0</v>
      </c>
      <c r="G127" s="14"/>
      <c r="H127" s="4"/>
    </row>
    <row r="128" spans="1:8" x14ac:dyDescent="0.25">
      <c r="A128" s="12" t="s">
        <v>270</v>
      </c>
      <c r="B128" s="43" t="s">
        <v>18</v>
      </c>
      <c r="C128" s="13">
        <v>100000</v>
      </c>
      <c r="D128" s="105"/>
      <c r="E128" s="105"/>
      <c r="F128" s="105">
        <f t="shared" si="6"/>
        <v>0</v>
      </c>
      <c r="G128" s="14"/>
      <c r="H128" s="4"/>
    </row>
    <row r="129" spans="1:8" x14ac:dyDescent="0.25">
      <c r="A129" s="12"/>
      <c r="B129" s="43" t="s">
        <v>19</v>
      </c>
      <c r="C129" s="13">
        <v>100000</v>
      </c>
      <c r="D129" s="105"/>
      <c r="E129" s="105"/>
      <c r="F129" s="105">
        <f t="shared" si="6"/>
        <v>0</v>
      </c>
      <c r="G129" s="14"/>
      <c r="H129" s="4"/>
    </row>
    <row r="130" spans="1:8" x14ac:dyDescent="0.25">
      <c r="A130" s="12"/>
      <c r="B130" s="43" t="s">
        <v>20</v>
      </c>
      <c r="C130" s="13">
        <v>100000</v>
      </c>
      <c r="D130" s="105"/>
      <c r="E130" s="105"/>
      <c r="F130" s="105">
        <f t="shared" si="6"/>
        <v>0</v>
      </c>
      <c r="G130" s="14"/>
      <c r="H130" s="4"/>
    </row>
    <row r="131" spans="1:8" x14ac:dyDescent="0.25">
      <c r="A131" s="12"/>
      <c r="B131" s="43" t="s">
        <v>21</v>
      </c>
      <c r="C131" s="13">
        <v>100000</v>
      </c>
      <c r="D131" s="105"/>
      <c r="E131" s="105"/>
      <c r="F131" s="105">
        <f t="shared" si="6"/>
        <v>0</v>
      </c>
      <c r="G131" s="14"/>
      <c r="H131" s="4"/>
    </row>
    <row r="132" spans="1:8" x14ac:dyDescent="0.25">
      <c r="A132" s="12"/>
      <c r="B132" s="43" t="s">
        <v>22</v>
      </c>
      <c r="C132" s="13">
        <v>100000</v>
      </c>
      <c r="D132" s="105"/>
      <c r="E132" s="105"/>
      <c r="F132" s="105">
        <f t="shared" si="6"/>
        <v>0</v>
      </c>
      <c r="G132" s="14"/>
      <c r="H132" s="4"/>
    </row>
    <row r="133" spans="1:8" x14ac:dyDescent="0.25">
      <c r="A133" s="12" t="s">
        <v>124</v>
      </c>
      <c r="B133" s="43" t="s">
        <v>23</v>
      </c>
      <c r="C133" s="13">
        <v>100000</v>
      </c>
      <c r="D133" s="105">
        <v>100000</v>
      </c>
      <c r="E133" s="105"/>
      <c r="F133" s="105">
        <f t="shared" si="6"/>
        <v>100000</v>
      </c>
      <c r="G133" s="14" t="s">
        <v>31</v>
      </c>
      <c r="H133" s="4"/>
    </row>
    <row r="134" spans="1:8" x14ac:dyDescent="0.25">
      <c r="A134" s="12" t="s">
        <v>124</v>
      </c>
      <c r="B134" s="43" t="s">
        <v>24</v>
      </c>
      <c r="C134" s="13">
        <v>100000</v>
      </c>
      <c r="D134" s="105">
        <v>100000</v>
      </c>
      <c r="E134" s="105"/>
      <c r="F134" s="105">
        <f t="shared" si="6"/>
        <v>100000</v>
      </c>
      <c r="G134" s="14" t="s">
        <v>31</v>
      </c>
      <c r="H134" s="4"/>
    </row>
    <row r="135" spans="1:8" x14ac:dyDescent="0.25">
      <c r="A135" s="12" t="s">
        <v>271</v>
      </c>
      <c r="B135" s="43" t="s">
        <v>25</v>
      </c>
      <c r="C135" s="13">
        <v>100000</v>
      </c>
      <c r="D135" s="105"/>
      <c r="E135" s="105"/>
      <c r="F135" s="105">
        <f t="shared" si="6"/>
        <v>0</v>
      </c>
      <c r="G135" s="14"/>
      <c r="H135" s="4"/>
    </row>
    <row r="136" spans="1:8" ht="16.5" thickBot="1" x14ac:dyDescent="0.3">
      <c r="A136" s="12" t="s">
        <v>271</v>
      </c>
      <c r="B136" s="43" t="s">
        <v>26</v>
      </c>
      <c r="C136" s="107">
        <v>100000</v>
      </c>
      <c r="D136" s="105"/>
      <c r="E136" s="105"/>
      <c r="F136" s="105">
        <f t="shared" si="6"/>
        <v>0</v>
      </c>
      <c r="G136" s="14"/>
      <c r="H136" s="4"/>
    </row>
    <row r="137" spans="1:8" ht="16.5" thickBot="1" x14ac:dyDescent="0.3">
      <c r="A137" s="210" t="s">
        <v>183</v>
      </c>
      <c r="B137" s="211"/>
      <c r="C137" s="109">
        <f>SUM(C117:C136)</f>
        <v>2000000</v>
      </c>
      <c r="D137" s="210" t="s">
        <v>184</v>
      </c>
      <c r="E137" s="211"/>
      <c r="F137" s="134">
        <f>SUM(F117:F136)</f>
        <v>300000</v>
      </c>
      <c r="G137" s="101"/>
      <c r="H137" s="4"/>
    </row>
    <row r="138" spans="1:8" ht="16.5" thickBot="1" x14ac:dyDescent="0.3">
      <c r="B138" s="100"/>
      <c r="D138" s="210" t="s">
        <v>181</v>
      </c>
      <c r="E138" s="211"/>
      <c r="F138" s="115">
        <f>C137-F137</f>
        <v>1700000</v>
      </c>
      <c r="G138" s="101"/>
      <c r="H138" s="4"/>
    </row>
    <row r="139" spans="1:8" x14ac:dyDescent="0.25">
      <c r="B139" s="100"/>
      <c r="D139" s="100"/>
      <c r="E139" s="100"/>
      <c r="F139" s="100"/>
      <c r="G139" s="101"/>
      <c r="H139" s="4"/>
    </row>
    <row r="140" spans="1:8" x14ac:dyDescent="0.25">
      <c r="B140" s="100"/>
      <c r="D140" s="100"/>
      <c r="E140" s="100"/>
      <c r="F140" s="100"/>
      <c r="G140" s="101"/>
      <c r="H140" s="4"/>
    </row>
    <row r="141" spans="1:8" ht="16.5" thickBot="1" x14ac:dyDescent="0.3">
      <c r="B141" s="100"/>
      <c r="D141" s="100"/>
      <c r="E141" s="100"/>
      <c r="F141" s="100"/>
      <c r="G141" s="101"/>
      <c r="H141" s="4"/>
    </row>
    <row r="142" spans="1:8" ht="16.5" thickBot="1" x14ac:dyDescent="0.3">
      <c r="A142" s="117" t="s">
        <v>70</v>
      </c>
      <c r="B142" s="118" t="s">
        <v>71</v>
      </c>
      <c r="C142" s="118" t="s">
        <v>72</v>
      </c>
      <c r="D142" s="119" t="s">
        <v>0</v>
      </c>
      <c r="E142" s="100"/>
      <c r="F142" s="100"/>
      <c r="G142" s="101"/>
      <c r="H142" s="4"/>
    </row>
    <row r="143" spans="1:8" ht="16.5" thickBot="1" x14ac:dyDescent="0.3">
      <c r="A143" s="120" t="s">
        <v>125</v>
      </c>
      <c r="B143" s="121">
        <v>20</v>
      </c>
      <c r="C143" s="127" t="s">
        <v>293</v>
      </c>
      <c r="D143" s="123"/>
      <c r="E143" s="100"/>
      <c r="F143" s="100"/>
      <c r="G143" s="101"/>
      <c r="H143" s="4"/>
    </row>
    <row r="144" spans="1:8" ht="16.5" thickBot="1" x14ac:dyDescent="0.3">
      <c r="A144" s="117" t="s">
        <v>1</v>
      </c>
      <c r="B144" s="118" t="s">
        <v>30</v>
      </c>
      <c r="C144" s="118" t="s">
        <v>2</v>
      </c>
      <c r="D144" s="118" t="s">
        <v>3</v>
      </c>
      <c r="E144" s="118" t="s">
        <v>4</v>
      </c>
      <c r="F144" s="103" t="s">
        <v>35</v>
      </c>
      <c r="G144" s="128" t="s">
        <v>6</v>
      </c>
      <c r="H144" s="4"/>
    </row>
    <row r="145" spans="1:8" x14ac:dyDescent="0.25">
      <c r="A145" s="12"/>
      <c r="B145" s="43" t="s">
        <v>7</v>
      </c>
      <c r="C145" s="13">
        <v>100000</v>
      </c>
      <c r="D145" s="105"/>
      <c r="E145" s="105"/>
      <c r="F145" s="105">
        <f>SUM(D145:E145)</f>
        <v>0</v>
      </c>
      <c r="G145" s="14"/>
      <c r="H145" s="4"/>
    </row>
    <row r="146" spans="1:8" x14ac:dyDescent="0.25">
      <c r="A146" s="12" t="s">
        <v>126</v>
      </c>
      <c r="B146" s="43" t="s">
        <v>8</v>
      </c>
      <c r="C146" s="13">
        <v>100000</v>
      </c>
      <c r="D146" s="105">
        <v>100000</v>
      </c>
      <c r="E146" s="105"/>
      <c r="F146" s="105">
        <f t="shared" ref="F146:F164" si="7">SUM(D146:E146)</f>
        <v>100000</v>
      </c>
      <c r="G146" s="14" t="s">
        <v>31</v>
      </c>
      <c r="H146" s="4"/>
    </row>
    <row r="147" spans="1:8" x14ac:dyDescent="0.25">
      <c r="A147" s="12" t="s">
        <v>126</v>
      </c>
      <c r="B147" s="43" t="s">
        <v>9</v>
      </c>
      <c r="C147" s="13">
        <v>100000</v>
      </c>
      <c r="D147" s="105">
        <v>100000</v>
      </c>
      <c r="E147" s="105"/>
      <c r="F147" s="105">
        <f t="shared" si="7"/>
        <v>100000</v>
      </c>
      <c r="G147" s="14" t="s">
        <v>31</v>
      </c>
      <c r="H147" s="4"/>
    </row>
    <row r="148" spans="1:8" x14ac:dyDescent="0.25">
      <c r="A148" s="12" t="s">
        <v>126</v>
      </c>
      <c r="B148" s="43" t="s">
        <v>10</v>
      </c>
      <c r="C148" s="13">
        <v>100000</v>
      </c>
      <c r="D148" s="105">
        <v>100000</v>
      </c>
      <c r="E148" s="105"/>
      <c r="F148" s="105">
        <f t="shared" si="7"/>
        <v>100000</v>
      </c>
      <c r="G148" s="14" t="s">
        <v>31</v>
      </c>
      <c r="H148" s="4"/>
    </row>
    <row r="149" spans="1:8" x14ac:dyDescent="0.25">
      <c r="A149" s="12" t="s">
        <v>126</v>
      </c>
      <c r="B149" s="43" t="s">
        <v>11</v>
      </c>
      <c r="C149" s="13">
        <v>100000</v>
      </c>
      <c r="D149" s="105">
        <v>100000</v>
      </c>
      <c r="E149" s="105"/>
      <c r="F149" s="105">
        <f t="shared" si="7"/>
        <v>100000</v>
      </c>
      <c r="G149" s="14" t="s">
        <v>31</v>
      </c>
      <c r="H149" s="4"/>
    </row>
    <row r="150" spans="1:8" x14ac:dyDescent="0.25">
      <c r="A150" s="12" t="s">
        <v>126</v>
      </c>
      <c r="B150" s="43" t="s">
        <v>12</v>
      </c>
      <c r="C150" s="13">
        <v>100000</v>
      </c>
      <c r="D150" s="105"/>
      <c r="E150" s="105"/>
      <c r="F150" s="105">
        <f t="shared" si="7"/>
        <v>0</v>
      </c>
      <c r="G150" s="14"/>
      <c r="H150" s="4"/>
    </row>
    <row r="151" spans="1:8" x14ac:dyDescent="0.25">
      <c r="A151" s="12" t="s">
        <v>127</v>
      </c>
      <c r="B151" s="43" t="s">
        <v>13</v>
      </c>
      <c r="C151" s="13">
        <v>100000</v>
      </c>
      <c r="D151" s="105">
        <v>50000</v>
      </c>
      <c r="E151" s="105"/>
      <c r="F151" s="105">
        <f t="shared" si="7"/>
        <v>50000</v>
      </c>
      <c r="G151" s="14"/>
      <c r="H151" s="4"/>
    </row>
    <row r="152" spans="1:8" x14ac:dyDescent="0.25">
      <c r="A152" s="12" t="s">
        <v>269</v>
      </c>
      <c r="B152" s="43" t="s">
        <v>14</v>
      </c>
      <c r="C152" s="13">
        <v>100000</v>
      </c>
      <c r="D152" s="105"/>
      <c r="E152" s="105"/>
      <c r="F152" s="105">
        <f t="shared" si="7"/>
        <v>0</v>
      </c>
      <c r="G152" s="14"/>
      <c r="H152" s="4"/>
    </row>
    <row r="153" spans="1:8" x14ac:dyDescent="0.25">
      <c r="A153" s="12"/>
      <c r="B153" s="43" t="s">
        <v>15</v>
      </c>
      <c r="C153" s="13">
        <v>100000</v>
      </c>
      <c r="D153" s="105"/>
      <c r="E153" s="105"/>
      <c r="F153" s="105">
        <f t="shared" si="7"/>
        <v>0</v>
      </c>
      <c r="G153" s="14"/>
      <c r="H153" s="4"/>
    </row>
    <row r="154" spans="1:8" x14ac:dyDescent="0.25">
      <c r="A154" s="12"/>
      <c r="B154" s="43" t="s">
        <v>16</v>
      </c>
      <c r="C154" s="13">
        <v>100000</v>
      </c>
      <c r="D154" s="105"/>
      <c r="E154" s="105"/>
      <c r="F154" s="105">
        <f t="shared" si="7"/>
        <v>0</v>
      </c>
      <c r="G154" s="14"/>
      <c r="H154" s="4"/>
    </row>
    <row r="155" spans="1:8" x14ac:dyDescent="0.25">
      <c r="A155" s="12"/>
      <c r="B155" s="43" t="s">
        <v>17</v>
      </c>
      <c r="C155" s="13">
        <v>100000</v>
      </c>
      <c r="D155" s="105"/>
      <c r="E155" s="105"/>
      <c r="F155" s="105">
        <f t="shared" si="7"/>
        <v>0</v>
      </c>
      <c r="G155" s="14"/>
      <c r="H155" s="4"/>
    </row>
    <row r="156" spans="1:8" x14ac:dyDescent="0.25">
      <c r="A156" s="12"/>
      <c r="B156" s="43" t="s">
        <v>18</v>
      </c>
      <c r="C156" s="13">
        <v>100000</v>
      </c>
      <c r="D156" s="105"/>
      <c r="E156" s="105"/>
      <c r="F156" s="105">
        <f t="shared" si="7"/>
        <v>0</v>
      </c>
      <c r="G156" s="14"/>
      <c r="H156" s="4"/>
    </row>
    <row r="157" spans="1:8" x14ac:dyDescent="0.25">
      <c r="A157" s="12"/>
      <c r="B157" s="43" t="s">
        <v>19</v>
      </c>
      <c r="C157" s="13">
        <v>100000</v>
      </c>
      <c r="D157" s="105"/>
      <c r="E157" s="105"/>
      <c r="F157" s="105">
        <f t="shared" si="7"/>
        <v>0</v>
      </c>
      <c r="G157" s="14"/>
      <c r="H157" s="4"/>
    </row>
    <row r="158" spans="1:8" x14ac:dyDescent="0.25">
      <c r="A158" s="12"/>
      <c r="B158" s="43" t="s">
        <v>20</v>
      </c>
      <c r="C158" s="13">
        <v>100000</v>
      </c>
      <c r="D158" s="105"/>
      <c r="E158" s="105"/>
      <c r="F158" s="105">
        <f t="shared" si="7"/>
        <v>0</v>
      </c>
      <c r="G158" s="14"/>
      <c r="H158" s="4"/>
    </row>
    <row r="159" spans="1:8" x14ac:dyDescent="0.25">
      <c r="A159" s="12"/>
      <c r="B159" s="43" t="s">
        <v>21</v>
      </c>
      <c r="C159" s="13">
        <v>100000</v>
      </c>
      <c r="D159" s="105"/>
      <c r="E159" s="105"/>
      <c r="F159" s="105">
        <f t="shared" si="7"/>
        <v>0</v>
      </c>
      <c r="G159" s="14"/>
      <c r="H159" s="4"/>
    </row>
    <row r="160" spans="1:8" x14ac:dyDescent="0.25">
      <c r="A160" s="12"/>
      <c r="B160" s="43" t="s">
        <v>22</v>
      </c>
      <c r="C160" s="13">
        <v>100000</v>
      </c>
      <c r="D160" s="105"/>
      <c r="E160" s="105"/>
      <c r="F160" s="105">
        <f t="shared" si="7"/>
        <v>0</v>
      </c>
      <c r="G160" s="14"/>
      <c r="H160" s="4"/>
    </row>
    <row r="161" spans="1:8" x14ac:dyDescent="0.25">
      <c r="A161" s="12"/>
      <c r="B161" s="43" t="s">
        <v>23</v>
      </c>
      <c r="C161" s="13">
        <v>100000</v>
      </c>
      <c r="D161" s="105"/>
      <c r="E161" s="105"/>
      <c r="F161" s="105">
        <f t="shared" si="7"/>
        <v>0</v>
      </c>
      <c r="G161" s="14"/>
      <c r="H161" s="4"/>
    </row>
    <row r="162" spans="1:8" x14ac:dyDescent="0.25">
      <c r="A162" s="12"/>
      <c r="B162" s="43" t="s">
        <v>24</v>
      </c>
      <c r="C162" s="13">
        <v>100000</v>
      </c>
      <c r="D162" s="105"/>
      <c r="E162" s="105"/>
      <c r="F162" s="105">
        <f t="shared" si="7"/>
        <v>0</v>
      </c>
      <c r="G162" s="14"/>
      <c r="H162" s="4"/>
    </row>
    <row r="163" spans="1:8" x14ac:dyDescent="0.25">
      <c r="A163" s="12"/>
      <c r="B163" s="43" t="s">
        <v>25</v>
      </c>
      <c r="C163" s="13">
        <v>100000</v>
      </c>
      <c r="D163" s="105"/>
      <c r="E163" s="105"/>
      <c r="F163" s="105">
        <f t="shared" si="7"/>
        <v>0</v>
      </c>
      <c r="G163" s="14"/>
      <c r="H163" s="4"/>
    </row>
    <row r="164" spans="1:8" ht="16.5" thickBot="1" x14ac:dyDescent="0.3">
      <c r="A164" s="12"/>
      <c r="B164" s="43" t="s">
        <v>26</v>
      </c>
      <c r="C164" s="107">
        <v>100000</v>
      </c>
      <c r="D164" s="105"/>
      <c r="E164" s="105"/>
      <c r="F164" s="105">
        <f t="shared" si="7"/>
        <v>0</v>
      </c>
      <c r="G164" s="14"/>
      <c r="H164" s="4"/>
    </row>
    <row r="165" spans="1:8" ht="16.5" thickBot="1" x14ac:dyDescent="0.3">
      <c r="A165" s="210" t="s">
        <v>183</v>
      </c>
      <c r="B165" s="211"/>
      <c r="C165" s="109">
        <f>SUM(C145:C164)</f>
        <v>2000000</v>
      </c>
      <c r="D165" s="210" t="s">
        <v>184</v>
      </c>
      <c r="E165" s="211"/>
      <c r="F165" s="134">
        <f>SUM(F145:F164)</f>
        <v>450000</v>
      </c>
      <c r="G165" s="101"/>
      <c r="H165" s="4"/>
    </row>
    <row r="166" spans="1:8" ht="16.5" thickBot="1" x14ac:dyDescent="0.3">
      <c r="B166" s="100"/>
      <c r="D166" s="210" t="s">
        <v>181</v>
      </c>
      <c r="E166" s="211"/>
      <c r="F166" s="115">
        <f>C165-F165</f>
        <v>1550000</v>
      </c>
      <c r="G166" s="101"/>
      <c r="H166" s="4"/>
    </row>
    <row r="167" spans="1:8" x14ac:dyDescent="0.25">
      <c r="B167" s="100"/>
      <c r="F167" s="135"/>
      <c r="G167" s="101"/>
      <c r="H167" s="4"/>
    </row>
    <row r="168" spans="1:8" ht="21" x14ac:dyDescent="0.35">
      <c r="A168" s="96"/>
      <c r="B168" s="96"/>
      <c r="C168" s="97" t="s">
        <v>194</v>
      </c>
      <c r="D168" s="96"/>
      <c r="E168" s="96"/>
      <c r="F168" s="96"/>
      <c r="G168" s="97"/>
      <c r="H168" s="4"/>
    </row>
    <row r="169" spans="1:8" x14ac:dyDescent="0.25">
      <c r="B169" s="100"/>
      <c r="D169" s="100"/>
      <c r="E169" s="100"/>
      <c r="F169" s="100"/>
      <c r="G169" s="101"/>
      <c r="H169" s="4"/>
    </row>
    <row r="170" spans="1:8" ht="16.5" thickBot="1" x14ac:dyDescent="0.3">
      <c r="B170" s="100"/>
      <c r="D170" s="100"/>
      <c r="E170" s="100"/>
      <c r="F170" s="100"/>
      <c r="G170" s="101"/>
      <c r="H170" s="4"/>
    </row>
    <row r="171" spans="1:8" ht="16.5" thickBot="1" x14ac:dyDescent="0.3">
      <c r="A171" s="117" t="s">
        <v>70</v>
      </c>
      <c r="B171" s="118" t="s">
        <v>71</v>
      </c>
      <c r="C171" s="118" t="s">
        <v>72</v>
      </c>
      <c r="D171" s="119" t="s">
        <v>0</v>
      </c>
      <c r="E171" s="100"/>
      <c r="F171" s="100"/>
      <c r="G171" s="101"/>
      <c r="H171" s="4"/>
    </row>
    <row r="172" spans="1:8" ht="16.5" thickBot="1" x14ac:dyDescent="0.3">
      <c r="A172" s="120" t="s">
        <v>128</v>
      </c>
      <c r="B172" s="121">
        <v>20</v>
      </c>
      <c r="C172" s="127" t="s">
        <v>129</v>
      </c>
      <c r="D172" s="123"/>
      <c r="E172" s="100"/>
      <c r="F172" s="100"/>
      <c r="G172" s="101"/>
      <c r="H172" s="4"/>
    </row>
    <row r="173" spans="1:8" ht="16.5" thickBot="1" x14ac:dyDescent="0.3">
      <c r="A173" s="117" t="s">
        <v>1</v>
      </c>
      <c r="B173" s="118" t="s">
        <v>30</v>
      </c>
      <c r="C173" s="118" t="s">
        <v>2</v>
      </c>
      <c r="D173" s="118" t="s">
        <v>3</v>
      </c>
      <c r="E173" s="118" t="s">
        <v>4</v>
      </c>
      <c r="F173" s="103" t="s">
        <v>35</v>
      </c>
      <c r="G173" s="128" t="s">
        <v>6</v>
      </c>
      <c r="H173" s="4"/>
    </row>
    <row r="174" spans="1:8" x14ac:dyDescent="0.25">
      <c r="A174" s="12"/>
      <c r="B174" s="43" t="s">
        <v>7</v>
      </c>
      <c r="C174" s="13">
        <v>100000</v>
      </c>
      <c r="D174" s="105"/>
      <c r="E174" s="105"/>
      <c r="F174" s="105">
        <f>SUM(D174:E174)</f>
        <v>0</v>
      </c>
      <c r="G174" s="14"/>
      <c r="H174" s="4"/>
    </row>
    <row r="175" spans="1:8" x14ac:dyDescent="0.25">
      <c r="A175" s="12"/>
      <c r="B175" s="43" t="s">
        <v>8</v>
      </c>
      <c r="C175" s="13">
        <v>100000</v>
      </c>
      <c r="D175" s="105"/>
      <c r="E175" s="105"/>
      <c r="F175" s="105">
        <f t="shared" ref="F175:F193" si="8">SUM(D175:E175)</f>
        <v>0</v>
      </c>
      <c r="G175" s="14"/>
      <c r="H175" s="4"/>
    </row>
    <row r="176" spans="1:8" x14ac:dyDescent="0.25">
      <c r="A176" s="12" t="s">
        <v>260</v>
      </c>
      <c r="B176" s="43" t="s">
        <v>9</v>
      </c>
      <c r="C176" s="13">
        <v>100000</v>
      </c>
      <c r="D176" s="105">
        <v>100000</v>
      </c>
      <c r="E176" s="105"/>
      <c r="F176" s="105">
        <f t="shared" si="8"/>
        <v>100000</v>
      </c>
      <c r="G176" s="14" t="s">
        <v>31</v>
      </c>
      <c r="H176" s="4"/>
    </row>
    <row r="177" spans="1:8" x14ac:dyDescent="0.25">
      <c r="A177" s="12" t="s">
        <v>260</v>
      </c>
      <c r="B177" s="43" t="s">
        <v>10</v>
      </c>
      <c r="C177" s="13">
        <v>100000</v>
      </c>
      <c r="D177" s="105">
        <v>100000</v>
      </c>
      <c r="E177" s="105"/>
      <c r="F177" s="105">
        <f t="shared" si="8"/>
        <v>100000</v>
      </c>
      <c r="G177" s="14" t="s">
        <v>31</v>
      </c>
      <c r="H177" s="4"/>
    </row>
    <row r="178" spans="1:8" x14ac:dyDescent="0.25">
      <c r="A178" s="12" t="s">
        <v>130</v>
      </c>
      <c r="B178" s="43" t="s">
        <v>11</v>
      </c>
      <c r="C178" s="13">
        <v>100000</v>
      </c>
      <c r="D178" s="105">
        <v>100000</v>
      </c>
      <c r="E178" s="105"/>
      <c r="F178" s="105">
        <f t="shared" si="8"/>
        <v>100000</v>
      </c>
      <c r="G178" s="14" t="s">
        <v>31</v>
      </c>
      <c r="H178" s="4"/>
    </row>
    <row r="179" spans="1:8" x14ac:dyDescent="0.25">
      <c r="A179" s="12" t="s">
        <v>130</v>
      </c>
      <c r="B179" s="43" t="s">
        <v>12</v>
      </c>
      <c r="C179" s="13">
        <v>100000</v>
      </c>
      <c r="D179" s="105">
        <v>70000</v>
      </c>
      <c r="E179" s="105"/>
      <c r="F179" s="105">
        <f t="shared" si="8"/>
        <v>70000</v>
      </c>
      <c r="G179" s="14"/>
      <c r="H179" s="4"/>
    </row>
    <row r="180" spans="1:8" x14ac:dyDescent="0.25">
      <c r="A180" s="12" t="s">
        <v>131</v>
      </c>
      <c r="B180" s="43" t="s">
        <v>13</v>
      </c>
      <c r="C180" s="13">
        <v>100000</v>
      </c>
      <c r="D180" s="105">
        <v>100000</v>
      </c>
      <c r="E180" s="105"/>
      <c r="F180" s="105">
        <f t="shared" si="8"/>
        <v>100000</v>
      </c>
      <c r="G180" s="14" t="s">
        <v>31</v>
      </c>
      <c r="H180" s="4"/>
    </row>
    <row r="181" spans="1:8" x14ac:dyDescent="0.25">
      <c r="A181" s="12"/>
      <c r="B181" s="43" t="s">
        <v>14</v>
      </c>
      <c r="C181" s="13">
        <v>100000</v>
      </c>
      <c r="D181" s="105"/>
      <c r="E181" s="105"/>
      <c r="F181" s="105">
        <f t="shared" si="8"/>
        <v>0</v>
      </c>
      <c r="G181" s="14"/>
      <c r="H181" s="4"/>
    </row>
    <row r="182" spans="1:8" x14ac:dyDescent="0.25">
      <c r="A182" s="12"/>
      <c r="B182" s="43" t="s">
        <v>15</v>
      </c>
      <c r="C182" s="13">
        <v>100000</v>
      </c>
      <c r="D182" s="105"/>
      <c r="E182" s="105"/>
      <c r="F182" s="105">
        <f t="shared" si="8"/>
        <v>0</v>
      </c>
      <c r="G182" s="14"/>
      <c r="H182" s="4"/>
    </row>
    <row r="183" spans="1:8" x14ac:dyDescent="0.25">
      <c r="A183" s="12" t="s">
        <v>261</v>
      </c>
      <c r="B183" s="43" t="s">
        <v>16</v>
      </c>
      <c r="C183" s="13">
        <v>100000</v>
      </c>
      <c r="D183" s="105"/>
      <c r="E183" s="105"/>
      <c r="F183" s="105">
        <f t="shared" si="8"/>
        <v>0</v>
      </c>
      <c r="G183" s="14"/>
      <c r="H183" s="4"/>
    </row>
    <row r="184" spans="1:8" x14ac:dyDescent="0.25">
      <c r="A184" s="12" t="s">
        <v>262</v>
      </c>
      <c r="B184" s="43" t="s">
        <v>17</v>
      </c>
      <c r="C184" s="13">
        <v>100000</v>
      </c>
      <c r="D184" s="105"/>
      <c r="E184" s="105"/>
      <c r="F184" s="105">
        <f t="shared" si="8"/>
        <v>0</v>
      </c>
      <c r="G184" s="14"/>
      <c r="H184" s="4"/>
    </row>
    <row r="185" spans="1:8" x14ac:dyDescent="0.25">
      <c r="A185" s="12" t="s">
        <v>262</v>
      </c>
      <c r="B185" s="43" t="s">
        <v>18</v>
      </c>
      <c r="C185" s="13">
        <v>100000</v>
      </c>
      <c r="D185" s="105"/>
      <c r="E185" s="105"/>
      <c r="F185" s="105">
        <f t="shared" si="8"/>
        <v>0</v>
      </c>
      <c r="G185" s="14"/>
      <c r="H185" s="4"/>
    </row>
    <row r="186" spans="1:8" x14ac:dyDescent="0.25">
      <c r="A186" s="12" t="s">
        <v>263</v>
      </c>
      <c r="B186" s="43" t="s">
        <v>19</v>
      </c>
      <c r="C186" s="13">
        <v>100000</v>
      </c>
      <c r="D186" s="105"/>
      <c r="E186" s="105"/>
      <c r="F186" s="105">
        <f t="shared" si="8"/>
        <v>0</v>
      </c>
      <c r="G186" s="14"/>
      <c r="H186" s="4"/>
    </row>
    <row r="187" spans="1:8" x14ac:dyDescent="0.25">
      <c r="A187" s="12" t="s">
        <v>264</v>
      </c>
      <c r="B187" s="43" t="s">
        <v>20</v>
      </c>
      <c r="C187" s="13">
        <v>100000</v>
      </c>
      <c r="D187" s="105"/>
      <c r="E187" s="105"/>
      <c r="F187" s="105">
        <f t="shared" si="8"/>
        <v>0</v>
      </c>
      <c r="G187" s="14"/>
      <c r="H187" s="4"/>
    </row>
    <row r="188" spans="1:8" x14ac:dyDescent="0.25">
      <c r="A188" s="12" t="s">
        <v>264</v>
      </c>
      <c r="B188" s="43" t="s">
        <v>21</v>
      </c>
      <c r="C188" s="13">
        <v>100000</v>
      </c>
      <c r="D188" s="105"/>
      <c r="E188" s="105"/>
      <c r="F188" s="105">
        <f t="shared" si="8"/>
        <v>0</v>
      </c>
      <c r="G188" s="14"/>
      <c r="H188" s="4"/>
    </row>
    <row r="189" spans="1:8" x14ac:dyDescent="0.25">
      <c r="A189" s="12" t="s">
        <v>265</v>
      </c>
      <c r="B189" s="43" t="s">
        <v>22</v>
      </c>
      <c r="C189" s="13">
        <v>100000</v>
      </c>
      <c r="D189" s="105"/>
      <c r="E189" s="105"/>
      <c r="F189" s="105">
        <f t="shared" si="8"/>
        <v>0</v>
      </c>
      <c r="G189" s="14"/>
      <c r="H189" s="4"/>
    </row>
    <row r="190" spans="1:8" x14ac:dyDescent="0.25">
      <c r="A190" s="12" t="s">
        <v>266</v>
      </c>
      <c r="B190" s="43" t="s">
        <v>23</v>
      </c>
      <c r="C190" s="13">
        <v>100000</v>
      </c>
      <c r="D190" s="105"/>
      <c r="E190" s="105"/>
      <c r="F190" s="105">
        <f t="shared" si="8"/>
        <v>0</v>
      </c>
      <c r="G190" s="14"/>
      <c r="H190" s="4"/>
    </row>
    <row r="191" spans="1:8" x14ac:dyDescent="0.25">
      <c r="A191" s="12" t="s">
        <v>267</v>
      </c>
      <c r="B191" s="43" t="s">
        <v>24</v>
      </c>
      <c r="C191" s="13">
        <v>100000</v>
      </c>
      <c r="D191" s="105"/>
      <c r="E191" s="105"/>
      <c r="F191" s="105">
        <f t="shared" si="8"/>
        <v>0</v>
      </c>
      <c r="G191" s="14"/>
      <c r="H191" s="4"/>
    </row>
    <row r="192" spans="1:8" x14ac:dyDescent="0.25">
      <c r="A192" s="12" t="s">
        <v>267</v>
      </c>
      <c r="B192" s="43" t="s">
        <v>25</v>
      </c>
      <c r="C192" s="13">
        <v>100000</v>
      </c>
      <c r="D192" s="105"/>
      <c r="E192" s="105"/>
      <c r="F192" s="105">
        <f t="shared" si="8"/>
        <v>0</v>
      </c>
      <c r="G192" s="14"/>
      <c r="H192" s="4"/>
    </row>
    <row r="193" spans="1:8" ht="16.5" thickBot="1" x14ac:dyDescent="0.3">
      <c r="A193" s="12" t="s">
        <v>268</v>
      </c>
      <c r="B193" s="43" t="s">
        <v>26</v>
      </c>
      <c r="C193" s="107">
        <v>100000</v>
      </c>
      <c r="D193" s="105"/>
      <c r="E193" s="105"/>
      <c r="F193" s="105">
        <f t="shared" si="8"/>
        <v>0</v>
      </c>
      <c r="G193" s="14"/>
      <c r="H193" s="4"/>
    </row>
    <row r="194" spans="1:8" ht="16.5" thickBot="1" x14ac:dyDescent="0.3">
      <c r="A194" s="210" t="s">
        <v>183</v>
      </c>
      <c r="B194" s="211"/>
      <c r="C194" s="109">
        <f>SUM(C174:C193)</f>
        <v>2000000</v>
      </c>
      <c r="D194" s="210" t="s">
        <v>184</v>
      </c>
      <c r="E194" s="211"/>
      <c r="F194" s="134">
        <f>SUM(F174:F193)</f>
        <v>470000</v>
      </c>
      <c r="G194" s="101"/>
      <c r="H194" s="4"/>
    </row>
    <row r="195" spans="1:8" ht="16.5" thickBot="1" x14ac:dyDescent="0.3">
      <c r="D195" s="210" t="s">
        <v>181</v>
      </c>
      <c r="E195" s="211"/>
      <c r="F195" s="115">
        <f>C194-F194</f>
        <v>1530000</v>
      </c>
      <c r="G195" s="101"/>
      <c r="H195" s="4"/>
    </row>
    <row r="196" spans="1:8" x14ac:dyDescent="0.25">
      <c r="D196" s="100"/>
      <c r="E196" s="100"/>
      <c r="F196" s="100"/>
      <c r="G196" s="101"/>
      <c r="H196" s="4"/>
    </row>
    <row r="197" spans="1:8" x14ac:dyDescent="0.25">
      <c r="D197" s="100"/>
      <c r="E197" s="100"/>
      <c r="F197" s="100"/>
      <c r="G197" s="101"/>
      <c r="H197" s="4"/>
    </row>
    <row r="198" spans="1:8" ht="16.5" thickBot="1" x14ac:dyDescent="0.3">
      <c r="D198" s="100"/>
      <c r="E198" s="100"/>
      <c r="F198" s="100"/>
      <c r="G198" s="101"/>
      <c r="H198" s="4"/>
    </row>
    <row r="199" spans="1:8" ht="16.5" thickBot="1" x14ac:dyDescent="0.3">
      <c r="A199" s="117" t="s">
        <v>70</v>
      </c>
      <c r="B199" s="118" t="s">
        <v>71</v>
      </c>
      <c r="C199" s="118" t="s">
        <v>72</v>
      </c>
      <c r="D199" s="119" t="s">
        <v>0</v>
      </c>
      <c r="E199" s="100"/>
      <c r="F199" s="100"/>
      <c r="G199" s="101"/>
      <c r="H199" s="4"/>
    </row>
    <row r="200" spans="1:8" ht="16.5" thickBot="1" x14ac:dyDescent="0.3">
      <c r="A200" s="120" t="s">
        <v>132</v>
      </c>
      <c r="B200" s="121">
        <v>20</v>
      </c>
      <c r="C200" s="127" t="s">
        <v>133</v>
      </c>
      <c r="D200" s="123"/>
      <c r="E200" s="100"/>
      <c r="F200" s="100"/>
      <c r="G200" s="101"/>
      <c r="H200" s="4"/>
    </row>
    <row r="201" spans="1:8" ht="16.5" thickBot="1" x14ac:dyDescent="0.3">
      <c r="A201" s="117" t="s">
        <v>1</v>
      </c>
      <c r="B201" s="118" t="s">
        <v>30</v>
      </c>
      <c r="C201" s="118" t="s">
        <v>2</v>
      </c>
      <c r="D201" s="118" t="s">
        <v>3</v>
      </c>
      <c r="E201" s="118" t="s">
        <v>4</v>
      </c>
      <c r="F201" s="103" t="s">
        <v>35</v>
      </c>
      <c r="G201" s="128" t="s">
        <v>6</v>
      </c>
      <c r="H201" s="4"/>
    </row>
    <row r="202" spans="1:8" x14ac:dyDescent="0.25">
      <c r="A202" s="12"/>
      <c r="B202" s="12" t="s">
        <v>7</v>
      </c>
      <c r="C202" s="13">
        <v>100000</v>
      </c>
      <c r="D202" s="105"/>
      <c r="E202" s="105"/>
      <c r="F202" s="105">
        <f>SUM(D202:E202)</f>
        <v>0</v>
      </c>
      <c r="G202" s="14"/>
      <c r="H202" s="4"/>
    </row>
    <row r="203" spans="1:8" x14ac:dyDescent="0.25">
      <c r="A203" s="12" t="s">
        <v>253</v>
      </c>
      <c r="B203" s="12" t="s">
        <v>8</v>
      </c>
      <c r="C203" s="13">
        <v>100000</v>
      </c>
      <c r="D203" s="105"/>
      <c r="E203" s="105"/>
      <c r="F203" s="105">
        <f t="shared" ref="F203:F221" si="9">SUM(D203:E203)</f>
        <v>0</v>
      </c>
      <c r="G203" s="14"/>
      <c r="H203" s="4"/>
    </row>
    <row r="204" spans="1:8" x14ac:dyDescent="0.25">
      <c r="A204" s="12" t="s">
        <v>254</v>
      </c>
      <c r="B204" s="12" t="s">
        <v>9</v>
      </c>
      <c r="C204" s="13">
        <v>100000</v>
      </c>
      <c r="D204" s="105"/>
      <c r="E204" s="105"/>
      <c r="F204" s="105">
        <f t="shared" si="9"/>
        <v>0</v>
      </c>
      <c r="G204" s="14"/>
      <c r="H204" s="4"/>
    </row>
    <row r="205" spans="1:8" x14ac:dyDescent="0.25">
      <c r="A205" s="12" t="s">
        <v>255</v>
      </c>
      <c r="B205" s="12" t="s">
        <v>10</v>
      </c>
      <c r="C205" s="13">
        <v>100000</v>
      </c>
      <c r="D205" s="105"/>
      <c r="E205" s="105"/>
      <c r="F205" s="105">
        <f t="shared" si="9"/>
        <v>0</v>
      </c>
      <c r="G205" s="14"/>
      <c r="H205" s="4"/>
    </row>
    <row r="206" spans="1:8" x14ac:dyDescent="0.25">
      <c r="A206" s="12" t="s">
        <v>256</v>
      </c>
      <c r="B206" s="12" t="s">
        <v>11</v>
      </c>
      <c r="C206" s="13">
        <v>100000</v>
      </c>
      <c r="D206" s="105"/>
      <c r="E206" s="105"/>
      <c r="F206" s="105">
        <f t="shared" si="9"/>
        <v>0</v>
      </c>
      <c r="G206" s="14"/>
      <c r="H206" s="4"/>
    </row>
    <row r="207" spans="1:8" x14ac:dyDescent="0.25">
      <c r="A207" s="12"/>
      <c r="B207" s="12" t="s">
        <v>12</v>
      </c>
      <c r="C207" s="13">
        <v>100000</v>
      </c>
      <c r="D207" s="105"/>
      <c r="E207" s="105"/>
      <c r="F207" s="105">
        <f t="shared" si="9"/>
        <v>0</v>
      </c>
      <c r="G207" s="14"/>
      <c r="H207" s="4"/>
    </row>
    <row r="208" spans="1:8" x14ac:dyDescent="0.25">
      <c r="A208" s="12"/>
      <c r="B208" s="12" t="s">
        <v>13</v>
      </c>
      <c r="C208" s="13">
        <v>100000</v>
      </c>
      <c r="D208" s="105"/>
      <c r="E208" s="105"/>
      <c r="F208" s="105">
        <f t="shared" si="9"/>
        <v>0</v>
      </c>
      <c r="G208" s="14"/>
      <c r="H208" s="4"/>
    </row>
    <row r="209" spans="1:8" x14ac:dyDescent="0.25">
      <c r="A209" s="12"/>
      <c r="B209" s="12" t="s">
        <v>14</v>
      </c>
      <c r="C209" s="13">
        <v>100000</v>
      </c>
      <c r="D209" s="105"/>
      <c r="E209" s="105"/>
      <c r="F209" s="105">
        <f t="shared" si="9"/>
        <v>0</v>
      </c>
      <c r="G209" s="14"/>
      <c r="H209" s="4"/>
    </row>
    <row r="210" spans="1:8" x14ac:dyDescent="0.25">
      <c r="A210" s="12" t="s">
        <v>134</v>
      </c>
      <c r="B210" s="12" t="s">
        <v>15</v>
      </c>
      <c r="C210" s="13">
        <v>100000</v>
      </c>
      <c r="D210" s="105">
        <v>100000</v>
      </c>
      <c r="E210" s="105"/>
      <c r="F210" s="105">
        <f t="shared" si="9"/>
        <v>100000</v>
      </c>
      <c r="G210" s="14" t="s">
        <v>31</v>
      </c>
      <c r="H210" s="4"/>
    </row>
    <row r="211" spans="1:8" x14ac:dyDescent="0.25">
      <c r="A211" s="12" t="s">
        <v>134</v>
      </c>
      <c r="B211" s="12" t="s">
        <v>16</v>
      </c>
      <c r="C211" s="13">
        <v>100000</v>
      </c>
      <c r="D211" s="105">
        <v>100000</v>
      </c>
      <c r="E211" s="105"/>
      <c r="F211" s="105">
        <f t="shared" si="9"/>
        <v>100000</v>
      </c>
      <c r="G211" s="14" t="s">
        <v>31</v>
      </c>
      <c r="H211" s="4"/>
    </row>
    <row r="212" spans="1:8" x14ac:dyDescent="0.25">
      <c r="A212" s="12"/>
      <c r="B212" s="12" t="s">
        <v>17</v>
      </c>
      <c r="C212" s="13">
        <v>100000</v>
      </c>
      <c r="D212" s="105"/>
      <c r="E212" s="105"/>
      <c r="F212" s="105">
        <f t="shared" si="9"/>
        <v>0</v>
      </c>
      <c r="G212" s="14"/>
      <c r="H212" s="4"/>
    </row>
    <row r="213" spans="1:8" x14ac:dyDescent="0.25">
      <c r="A213" s="12"/>
      <c r="B213" s="12" t="s">
        <v>18</v>
      </c>
      <c r="C213" s="13">
        <v>100000</v>
      </c>
      <c r="D213" s="105"/>
      <c r="E213" s="105"/>
      <c r="F213" s="105">
        <f t="shared" si="9"/>
        <v>0</v>
      </c>
      <c r="G213" s="14"/>
      <c r="H213" s="4"/>
    </row>
    <row r="214" spans="1:8" x14ac:dyDescent="0.25">
      <c r="A214" s="12"/>
      <c r="B214" s="12" t="s">
        <v>19</v>
      </c>
      <c r="C214" s="13">
        <v>100000</v>
      </c>
      <c r="D214" s="105"/>
      <c r="E214" s="105"/>
      <c r="F214" s="105">
        <f t="shared" si="9"/>
        <v>0</v>
      </c>
      <c r="G214" s="14"/>
      <c r="H214" s="4"/>
    </row>
    <row r="215" spans="1:8" x14ac:dyDescent="0.25">
      <c r="A215" s="12" t="s">
        <v>257</v>
      </c>
      <c r="B215" s="12" t="s">
        <v>20</v>
      </c>
      <c r="C215" s="13">
        <v>100000</v>
      </c>
      <c r="D215" s="105"/>
      <c r="E215" s="105"/>
      <c r="F215" s="105">
        <f t="shared" si="9"/>
        <v>0</v>
      </c>
      <c r="G215" s="14"/>
      <c r="H215" s="4"/>
    </row>
    <row r="216" spans="1:8" x14ac:dyDescent="0.25">
      <c r="A216" s="12" t="s">
        <v>258</v>
      </c>
      <c r="B216" s="12" t="s">
        <v>21</v>
      </c>
      <c r="C216" s="13">
        <v>100000</v>
      </c>
      <c r="D216" s="105"/>
      <c r="E216" s="105"/>
      <c r="F216" s="105">
        <f t="shared" si="9"/>
        <v>0</v>
      </c>
      <c r="G216" s="14"/>
      <c r="H216" s="4"/>
    </row>
    <row r="217" spans="1:8" x14ac:dyDescent="0.25">
      <c r="A217" s="12"/>
      <c r="B217" s="12" t="s">
        <v>22</v>
      </c>
      <c r="C217" s="13">
        <v>100000</v>
      </c>
      <c r="D217" s="105"/>
      <c r="E217" s="105"/>
      <c r="F217" s="105">
        <f t="shared" si="9"/>
        <v>0</v>
      </c>
      <c r="G217" s="14"/>
      <c r="H217" s="4"/>
    </row>
    <row r="218" spans="1:8" x14ac:dyDescent="0.25">
      <c r="A218" s="12"/>
      <c r="B218" s="12" t="s">
        <v>23</v>
      </c>
      <c r="C218" s="13">
        <v>100000</v>
      </c>
      <c r="D218" s="105"/>
      <c r="E218" s="105"/>
      <c r="F218" s="105">
        <f t="shared" si="9"/>
        <v>0</v>
      </c>
      <c r="G218" s="14"/>
      <c r="H218" s="4"/>
    </row>
    <row r="219" spans="1:8" x14ac:dyDescent="0.25">
      <c r="A219" s="12"/>
      <c r="B219" s="12" t="s">
        <v>24</v>
      </c>
      <c r="C219" s="13">
        <v>100000</v>
      </c>
      <c r="D219" s="105"/>
      <c r="E219" s="105"/>
      <c r="F219" s="105">
        <f t="shared" si="9"/>
        <v>0</v>
      </c>
      <c r="G219" s="14"/>
      <c r="H219" s="4"/>
    </row>
    <row r="220" spans="1:8" x14ac:dyDescent="0.25">
      <c r="A220" s="12"/>
      <c r="B220" s="12" t="s">
        <v>25</v>
      </c>
      <c r="C220" s="13">
        <v>100000</v>
      </c>
      <c r="D220" s="105"/>
      <c r="E220" s="105"/>
      <c r="F220" s="105">
        <f t="shared" si="9"/>
        <v>0</v>
      </c>
      <c r="G220" s="14"/>
      <c r="H220" s="4"/>
    </row>
    <row r="221" spans="1:8" ht="16.5" thickBot="1" x14ac:dyDescent="0.3">
      <c r="A221" s="12" t="s">
        <v>259</v>
      </c>
      <c r="B221" s="12" t="s">
        <v>26</v>
      </c>
      <c r="C221" s="107">
        <v>100000</v>
      </c>
      <c r="D221" s="105"/>
      <c r="E221" s="105"/>
      <c r="F221" s="105">
        <f t="shared" si="9"/>
        <v>0</v>
      </c>
      <c r="G221" s="14"/>
      <c r="H221" s="4"/>
    </row>
    <row r="222" spans="1:8" ht="16.5" thickBot="1" x14ac:dyDescent="0.3">
      <c r="A222" s="210" t="s">
        <v>183</v>
      </c>
      <c r="B222" s="211"/>
      <c r="C222" s="109">
        <f>SUM(C202:C221)</f>
        <v>2000000</v>
      </c>
      <c r="D222" s="210" t="s">
        <v>184</v>
      </c>
      <c r="E222" s="211"/>
      <c r="F222" s="134">
        <f>SUM(F202:F221)</f>
        <v>200000</v>
      </c>
      <c r="G222" s="101"/>
      <c r="H222" s="4"/>
    </row>
    <row r="223" spans="1:8" ht="16.5" thickBot="1" x14ac:dyDescent="0.3">
      <c r="D223" s="210" t="s">
        <v>181</v>
      </c>
      <c r="E223" s="211"/>
      <c r="F223" s="115">
        <f>C222-F222</f>
        <v>1800000</v>
      </c>
      <c r="G223" s="101"/>
      <c r="H223" s="4"/>
    </row>
    <row r="224" spans="1:8" x14ac:dyDescent="0.25">
      <c r="G224" s="101"/>
      <c r="H224" s="4"/>
    </row>
    <row r="225" spans="1:8" ht="21" x14ac:dyDescent="0.35">
      <c r="A225" s="96"/>
      <c r="B225" s="96"/>
      <c r="C225" s="97" t="s">
        <v>194</v>
      </c>
      <c r="D225" s="96"/>
      <c r="E225" s="96"/>
      <c r="F225" s="96"/>
      <c r="G225" s="97"/>
      <c r="H225" s="4"/>
    </row>
    <row r="226" spans="1:8" x14ac:dyDescent="0.25">
      <c r="G226" s="101"/>
      <c r="H226" s="4"/>
    </row>
    <row r="227" spans="1:8" ht="16.5" thickBot="1" x14ac:dyDescent="0.3">
      <c r="G227" s="101"/>
      <c r="H227" s="4"/>
    </row>
    <row r="228" spans="1:8" ht="16.5" thickBot="1" x14ac:dyDescent="0.3">
      <c r="A228" s="117" t="s">
        <v>70</v>
      </c>
      <c r="B228" s="118" t="s">
        <v>71</v>
      </c>
      <c r="C228" s="118" t="s">
        <v>72</v>
      </c>
      <c r="D228" s="119" t="s">
        <v>0</v>
      </c>
      <c r="E228" s="100"/>
      <c r="F228" s="100"/>
      <c r="G228" s="101"/>
      <c r="H228" s="4"/>
    </row>
    <row r="229" spans="1:8" ht="16.5" thickBot="1" x14ac:dyDescent="0.3">
      <c r="A229" s="120" t="s">
        <v>135</v>
      </c>
      <c r="B229" s="121">
        <v>24</v>
      </c>
      <c r="C229" s="127" t="s">
        <v>138</v>
      </c>
      <c r="D229" s="123"/>
      <c r="E229" s="100"/>
      <c r="F229" s="100"/>
      <c r="G229" s="101"/>
      <c r="H229" s="4"/>
    </row>
    <row r="230" spans="1:8" ht="16.5" thickBot="1" x14ac:dyDescent="0.3">
      <c r="A230" s="117" t="s">
        <v>1</v>
      </c>
      <c r="B230" s="118" t="s">
        <v>30</v>
      </c>
      <c r="C230" s="118" t="s">
        <v>2</v>
      </c>
      <c r="D230" s="118" t="s">
        <v>3</v>
      </c>
      <c r="E230" s="118" t="s">
        <v>4</v>
      </c>
      <c r="F230" s="103" t="s">
        <v>35</v>
      </c>
      <c r="G230" s="128" t="s">
        <v>6</v>
      </c>
      <c r="H230" s="4"/>
    </row>
    <row r="231" spans="1:8" x14ac:dyDescent="0.25">
      <c r="A231" s="12" t="s">
        <v>240</v>
      </c>
      <c r="B231" s="12" t="s">
        <v>7</v>
      </c>
      <c r="C231" s="13">
        <v>100000</v>
      </c>
      <c r="D231" s="105"/>
      <c r="E231" s="105"/>
      <c r="F231" s="105">
        <f>SUM(D231:E231)</f>
        <v>0</v>
      </c>
      <c r="G231" s="14"/>
      <c r="H231" s="4"/>
    </row>
    <row r="232" spans="1:8" x14ac:dyDescent="0.25">
      <c r="A232" s="12" t="s">
        <v>241</v>
      </c>
      <c r="B232" s="12" t="s">
        <v>8</v>
      </c>
      <c r="C232" s="13">
        <v>100000</v>
      </c>
      <c r="D232" s="105"/>
      <c r="E232" s="105"/>
      <c r="F232" s="105">
        <f t="shared" ref="F232:F254" si="10">SUM(D232:E232)</f>
        <v>0</v>
      </c>
      <c r="G232" s="14"/>
      <c r="H232" s="4"/>
    </row>
    <row r="233" spans="1:8" x14ac:dyDescent="0.25">
      <c r="A233" s="12" t="s">
        <v>242</v>
      </c>
      <c r="B233" s="12" t="s">
        <v>9</v>
      </c>
      <c r="C233" s="13">
        <v>100000</v>
      </c>
      <c r="D233" s="105"/>
      <c r="E233" s="105"/>
      <c r="F233" s="105">
        <f t="shared" si="10"/>
        <v>0</v>
      </c>
      <c r="G233" s="14"/>
      <c r="H233" s="4"/>
    </row>
    <row r="234" spans="1:8" x14ac:dyDescent="0.25">
      <c r="A234" s="12"/>
      <c r="B234" s="12" t="s">
        <v>10</v>
      </c>
      <c r="C234" s="13">
        <v>100000</v>
      </c>
      <c r="D234" s="105"/>
      <c r="E234" s="105"/>
      <c r="F234" s="105">
        <f t="shared" si="10"/>
        <v>0</v>
      </c>
      <c r="G234" s="14"/>
      <c r="H234" s="4"/>
    </row>
    <row r="235" spans="1:8" x14ac:dyDescent="0.25">
      <c r="A235" s="12"/>
      <c r="B235" s="12" t="s">
        <v>11</v>
      </c>
      <c r="C235" s="13">
        <v>100000</v>
      </c>
      <c r="D235" s="105"/>
      <c r="E235" s="105"/>
      <c r="F235" s="105">
        <f t="shared" si="10"/>
        <v>0</v>
      </c>
      <c r="G235" s="14"/>
      <c r="H235" s="4"/>
    </row>
    <row r="236" spans="1:8" x14ac:dyDescent="0.25">
      <c r="A236" s="12" t="s">
        <v>243</v>
      </c>
      <c r="B236" s="12" t="s">
        <v>12</v>
      </c>
      <c r="C236" s="13">
        <v>100000</v>
      </c>
      <c r="D236" s="105"/>
      <c r="E236" s="105"/>
      <c r="F236" s="105">
        <f t="shared" si="10"/>
        <v>0</v>
      </c>
      <c r="G236" s="14"/>
      <c r="H236" s="4"/>
    </row>
    <row r="237" spans="1:8" x14ac:dyDescent="0.25">
      <c r="A237" s="12" t="s">
        <v>244</v>
      </c>
      <c r="B237" s="12" t="s">
        <v>13</v>
      </c>
      <c r="C237" s="13">
        <v>100000</v>
      </c>
      <c r="D237" s="105"/>
      <c r="E237" s="105"/>
      <c r="F237" s="105">
        <f t="shared" si="10"/>
        <v>0</v>
      </c>
      <c r="G237" s="14"/>
      <c r="H237" s="4"/>
    </row>
    <row r="238" spans="1:8" x14ac:dyDescent="0.25">
      <c r="A238" s="12"/>
      <c r="B238" s="12" t="s">
        <v>14</v>
      </c>
      <c r="C238" s="13">
        <v>100000</v>
      </c>
      <c r="D238" s="105"/>
      <c r="E238" s="105"/>
      <c r="F238" s="105">
        <f t="shared" si="10"/>
        <v>0</v>
      </c>
      <c r="G238" s="14"/>
      <c r="H238" s="4"/>
    </row>
    <row r="239" spans="1:8" x14ac:dyDescent="0.25">
      <c r="A239" s="12" t="s">
        <v>245</v>
      </c>
      <c r="B239" s="12" t="s">
        <v>15</v>
      </c>
      <c r="C239" s="13">
        <v>100000</v>
      </c>
      <c r="D239" s="105"/>
      <c r="E239" s="105"/>
      <c r="F239" s="105">
        <f t="shared" si="10"/>
        <v>0</v>
      </c>
      <c r="G239" s="14"/>
      <c r="H239" s="4"/>
    </row>
    <row r="240" spans="1:8" x14ac:dyDescent="0.25">
      <c r="A240" s="12"/>
      <c r="B240" s="12" t="s">
        <v>16</v>
      </c>
      <c r="C240" s="13">
        <v>100000</v>
      </c>
      <c r="D240" s="105"/>
      <c r="E240" s="105"/>
      <c r="F240" s="105">
        <f t="shared" si="10"/>
        <v>0</v>
      </c>
      <c r="G240" s="14"/>
      <c r="H240" s="4"/>
    </row>
    <row r="241" spans="1:8" x14ac:dyDescent="0.25">
      <c r="A241" s="12" t="s">
        <v>246</v>
      </c>
      <c r="B241" s="12" t="s">
        <v>17</v>
      </c>
      <c r="C241" s="13">
        <v>100000</v>
      </c>
      <c r="D241" s="105"/>
      <c r="E241" s="105"/>
      <c r="F241" s="105">
        <f t="shared" si="10"/>
        <v>0</v>
      </c>
      <c r="G241" s="14"/>
      <c r="H241" s="4"/>
    </row>
    <row r="242" spans="1:8" x14ac:dyDescent="0.25">
      <c r="A242" s="12" t="s">
        <v>246</v>
      </c>
      <c r="B242" s="12" t="s">
        <v>18</v>
      </c>
      <c r="C242" s="13">
        <v>100000</v>
      </c>
      <c r="D242" s="105"/>
      <c r="E242" s="105"/>
      <c r="F242" s="105">
        <f t="shared" si="10"/>
        <v>0</v>
      </c>
      <c r="G242" s="14"/>
      <c r="H242" s="4"/>
    </row>
    <row r="243" spans="1:8" x14ac:dyDescent="0.25">
      <c r="A243" s="12" t="s">
        <v>247</v>
      </c>
      <c r="B243" s="12" t="s">
        <v>19</v>
      </c>
      <c r="C243" s="13">
        <v>100000</v>
      </c>
      <c r="D243" s="105"/>
      <c r="E243" s="105"/>
      <c r="F243" s="105">
        <f t="shared" si="10"/>
        <v>0</v>
      </c>
      <c r="G243" s="14"/>
      <c r="H243" s="4"/>
    </row>
    <row r="244" spans="1:8" x14ac:dyDescent="0.25">
      <c r="A244" s="12" t="s">
        <v>247</v>
      </c>
      <c r="B244" s="12" t="s">
        <v>20</v>
      </c>
      <c r="C244" s="13">
        <v>100000</v>
      </c>
      <c r="D244" s="105"/>
      <c r="E244" s="105"/>
      <c r="F244" s="105">
        <f t="shared" si="10"/>
        <v>0</v>
      </c>
      <c r="G244" s="14"/>
      <c r="H244" s="4"/>
    </row>
    <row r="245" spans="1:8" x14ac:dyDescent="0.25">
      <c r="A245" s="12" t="s">
        <v>248</v>
      </c>
      <c r="B245" s="12" t="s">
        <v>21</v>
      </c>
      <c r="C245" s="13">
        <v>100000</v>
      </c>
      <c r="D245" s="105"/>
      <c r="E245" s="105"/>
      <c r="F245" s="105">
        <f t="shared" si="10"/>
        <v>0</v>
      </c>
      <c r="G245" s="14"/>
      <c r="H245" s="4"/>
    </row>
    <row r="246" spans="1:8" x14ac:dyDescent="0.25">
      <c r="A246" s="12" t="s">
        <v>249</v>
      </c>
      <c r="B246" s="12" t="s">
        <v>22</v>
      </c>
      <c r="C246" s="13">
        <v>100000</v>
      </c>
      <c r="D246" s="105"/>
      <c r="E246" s="105"/>
      <c r="F246" s="105">
        <f t="shared" si="10"/>
        <v>0</v>
      </c>
      <c r="G246" s="14"/>
      <c r="H246" s="4"/>
    </row>
    <row r="247" spans="1:8" x14ac:dyDescent="0.25">
      <c r="A247" s="12" t="s">
        <v>250</v>
      </c>
      <c r="B247" s="12" t="s">
        <v>23</v>
      </c>
      <c r="C247" s="13">
        <v>100000</v>
      </c>
      <c r="D247" s="105"/>
      <c r="E247" s="105"/>
      <c r="F247" s="105">
        <f t="shared" si="10"/>
        <v>0</v>
      </c>
      <c r="G247" s="14"/>
      <c r="H247" s="4"/>
    </row>
    <row r="248" spans="1:8" x14ac:dyDescent="0.25">
      <c r="A248" s="12"/>
      <c r="B248" s="12" t="s">
        <v>24</v>
      </c>
      <c r="C248" s="13">
        <v>100000</v>
      </c>
      <c r="D248" s="105"/>
      <c r="E248" s="105"/>
      <c r="F248" s="105">
        <f t="shared" si="10"/>
        <v>0</v>
      </c>
      <c r="G248" s="14"/>
      <c r="H248" s="4"/>
    </row>
    <row r="249" spans="1:8" x14ac:dyDescent="0.25">
      <c r="A249" s="12" t="s">
        <v>251</v>
      </c>
      <c r="B249" s="12" t="s">
        <v>25</v>
      </c>
      <c r="C249" s="13">
        <v>100000</v>
      </c>
      <c r="D249" s="105"/>
      <c r="E249" s="105"/>
      <c r="F249" s="105">
        <f t="shared" si="10"/>
        <v>0</v>
      </c>
      <c r="G249" s="14"/>
      <c r="H249" s="4"/>
    </row>
    <row r="250" spans="1:8" x14ac:dyDescent="0.25">
      <c r="A250" s="12"/>
      <c r="B250" s="12" t="s">
        <v>26</v>
      </c>
      <c r="C250" s="13">
        <v>100000</v>
      </c>
      <c r="D250" s="105"/>
      <c r="E250" s="105"/>
      <c r="F250" s="105">
        <f t="shared" si="10"/>
        <v>0</v>
      </c>
      <c r="G250" s="14"/>
      <c r="H250" s="4"/>
    </row>
    <row r="251" spans="1:8" x14ac:dyDescent="0.25">
      <c r="A251" s="12"/>
      <c r="B251" s="12" t="s">
        <v>37</v>
      </c>
      <c r="C251" s="13">
        <v>100000</v>
      </c>
      <c r="D251" s="105"/>
      <c r="E251" s="105"/>
      <c r="F251" s="105">
        <f t="shared" si="10"/>
        <v>0</v>
      </c>
      <c r="G251" s="14"/>
      <c r="H251" s="4"/>
    </row>
    <row r="252" spans="1:8" x14ac:dyDescent="0.25">
      <c r="A252" s="12" t="s">
        <v>252</v>
      </c>
      <c r="B252" s="12" t="s">
        <v>38</v>
      </c>
      <c r="C252" s="13">
        <v>100000</v>
      </c>
      <c r="D252" s="105"/>
      <c r="E252" s="105"/>
      <c r="F252" s="105">
        <f t="shared" si="10"/>
        <v>0</v>
      </c>
      <c r="G252" s="14"/>
      <c r="H252" s="4"/>
    </row>
    <row r="253" spans="1:8" x14ac:dyDescent="0.25">
      <c r="A253" s="12" t="s">
        <v>137</v>
      </c>
      <c r="B253" s="12" t="s">
        <v>74</v>
      </c>
      <c r="C253" s="13">
        <v>100000</v>
      </c>
      <c r="D253" s="105">
        <v>100000</v>
      </c>
      <c r="E253" s="105"/>
      <c r="F253" s="105">
        <f t="shared" si="10"/>
        <v>100000</v>
      </c>
      <c r="G253" s="14" t="s">
        <v>31</v>
      </c>
      <c r="H253" s="4"/>
    </row>
    <row r="254" spans="1:8" ht="16.5" thickBot="1" x14ac:dyDescent="0.3">
      <c r="A254" s="12" t="s">
        <v>137</v>
      </c>
      <c r="B254" s="12" t="s">
        <v>136</v>
      </c>
      <c r="C254" s="107">
        <v>100000</v>
      </c>
      <c r="D254" s="105">
        <v>100000</v>
      </c>
      <c r="E254" s="105"/>
      <c r="F254" s="105">
        <f t="shared" si="10"/>
        <v>100000</v>
      </c>
      <c r="G254" s="14" t="s">
        <v>31</v>
      </c>
      <c r="H254" s="4"/>
    </row>
    <row r="255" spans="1:8" ht="16.5" thickBot="1" x14ac:dyDescent="0.3">
      <c r="A255" s="210" t="s">
        <v>183</v>
      </c>
      <c r="B255" s="211"/>
      <c r="C255" s="109">
        <f>SUM(C231:C254)</f>
        <v>2400000</v>
      </c>
      <c r="D255" s="210" t="s">
        <v>184</v>
      </c>
      <c r="E255" s="211"/>
      <c r="F255" s="134">
        <f>SUM(F231:F254)</f>
        <v>200000</v>
      </c>
      <c r="G255" s="101"/>
      <c r="H255" s="4"/>
    </row>
    <row r="256" spans="1:8" ht="16.5" thickBot="1" x14ac:dyDescent="0.3">
      <c r="D256" s="210" t="s">
        <v>181</v>
      </c>
      <c r="E256" s="211"/>
      <c r="F256" s="115">
        <f>C255-F255</f>
        <v>2200000</v>
      </c>
      <c r="G256" s="101"/>
      <c r="H256" s="4"/>
    </row>
    <row r="257" spans="1:8" x14ac:dyDescent="0.25">
      <c r="G257" s="99"/>
      <c r="H257" s="4"/>
    </row>
    <row r="258" spans="1:8" x14ac:dyDescent="0.25">
      <c r="G258" s="99"/>
      <c r="H258" s="4"/>
    </row>
    <row r="259" spans="1:8" ht="16.5" thickBot="1" x14ac:dyDescent="0.3">
      <c r="G259" s="99"/>
      <c r="H259" s="4"/>
    </row>
    <row r="260" spans="1:8" ht="16.5" thickBot="1" x14ac:dyDescent="0.3">
      <c r="A260" s="117" t="s">
        <v>70</v>
      </c>
      <c r="B260" s="118" t="s">
        <v>71</v>
      </c>
      <c r="C260" s="118" t="s">
        <v>72</v>
      </c>
      <c r="D260" s="119" t="s">
        <v>0</v>
      </c>
      <c r="E260" s="100"/>
      <c r="F260" s="100"/>
      <c r="G260" s="101"/>
      <c r="H260" s="4"/>
    </row>
    <row r="261" spans="1:8" ht="16.5" thickBot="1" x14ac:dyDescent="0.3">
      <c r="A261" s="120" t="s">
        <v>139</v>
      </c>
      <c r="B261" s="121">
        <v>11</v>
      </c>
      <c r="C261" s="122" t="s">
        <v>140</v>
      </c>
      <c r="D261" s="123"/>
      <c r="E261" s="100"/>
      <c r="F261" s="100"/>
      <c r="G261" s="101"/>
      <c r="H261" s="4"/>
    </row>
    <row r="262" spans="1:8" ht="16.5" thickBot="1" x14ac:dyDescent="0.3">
      <c r="A262" s="117" t="s">
        <v>1</v>
      </c>
      <c r="B262" s="118" t="s">
        <v>30</v>
      </c>
      <c r="C262" s="118" t="s">
        <v>2</v>
      </c>
      <c r="D262" s="118" t="s">
        <v>3</v>
      </c>
      <c r="E262" s="118" t="s">
        <v>4</v>
      </c>
      <c r="F262" s="103" t="s">
        <v>35</v>
      </c>
      <c r="G262" s="128" t="s">
        <v>6</v>
      </c>
      <c r="H262" s="4"/>
    </row>
    <row r="263" spans="1:8" x14ac:dyDescent="0.25">
      <c r="A263" s="129" t="s">
        <v>149</v>
      </c>
      <c r="B263" s="129" t="s">
        <v>7</v>
      </c>
      <c r="C263" s="131">
        <v>500000</v>
      </c>
      <c r="D263" s="105">
        <v>250000</v>
      </c>
      <c r="E263" s="105"/>
      <c r="F263" s="105">
        <f>SUM(D263:E263)</f>
        <v>250000</v>
      </c>
      <c r="G263" s="132"/>
      <c r="H263" s="4"/>
    </row>
    <row r="264" spans="1:8" x14ac:dyDescent="0.25">
      <c r="A264" s="129"/>
      <c r="B264" s="129" t="s">
        <v>8</v>
      </c>
      <c r="C264" s="131">
        <v>100000</v>
      </c>
      <c r="D264" s="105"/>
      <c r="E264" s="105"/>
      <c r="F264" s="105">
        <f t="shared" ref="F264:F273" si="11">SUM(D264:E264)</f>
        <v>0</v>
      </c>
      <c r="G264" s="14"/>
      <c r="H264" s="4"/>
    </row>
    <row r="265" spans="1:8" x14ac:dyDescent="0.25">
      <c r="A265" s="129"/>
      <c r="B265" s="129" t="s">
        <v>9</v>
      </c>
      <c r="C265" s="131">
        <v>100000</v>
      </c>
      <c r="D265" s="105"/>
      <c r="E265" s="105"/>
      <c r="F265" s="105">
        <f t="shared" si="11"/>
        <v>0</v>
      </c>
      <c r="G265" s="132"/>
      <c r="H265" s="4"/>
    </row>
    <row r="266" spans="1:8" x14ac:dyDescent="0.25">
      <c r="A266" s="129"/>
      <c r="B266" s="129" t="s">
        <v>10</v>
      </c>
      <c r="C266" s="131">
        <v>100000</v>
      </c>
      <c r="D266" s="105"/>
      <c r="E266" s="105"/>
      <c r="F266" s="105">
        <f t="shared" si="11"/>
        <v>0</v>
      </c>
      <c r="G266" s="132"/>
      <c r="H266" s="4"/>
    </row>
    <row r="267" spans="1:8" x14ac:dyDescent="0.25">
      <c r="A267" s="129"/>
      <c r="B267" s="129" t="s">
        <v>11</v>
      </c>
      <c r="C267" s="131">
        <v>100000</v>
      </c>
      <c r="D267" s="105"/>
      <c r="E267" s="105"/>
      <c r="F267" s="105">
        <f t="shared" si="11"/>
        <v>0</v>
      </c>
      <c r="G267" s="132"/>
      <c r="H267" s="4"/>
    </row>
    <row r="268" spans="1:8" x14ac:dyDescent="0.25">
      <c r="A268" s="129"/>
      <c r="B268" s="129" t="s">
        <v>12</v>
      </c>
      <c r="C268" s="131">
        <v>100000</v>
      </c>
      <c r="D268" s="105"/>
      <c r="E268" s="105"/>
      <c r="F268" s="105">
        <f t="shared" si="11"/>
        <v>0</v>
      </c>
      <c r="G268" s="132"/>
      <c r="H268" s="4"/>
    </row>
    <row r="269" spans="1:8" x14ac:dyDescent="0.25">
      <c r="A269" s="129" t="s">
        <v>239</v>
      </c>
      <c r="B269" s="129" t="s">
        <v>13</v>
      </c>
      <c r="C269" s="131">
        <v>100000</v>
      </c>
      <c r="D269" s="105"/>
      <c r="E269" s="105"/>
      <c r="F269" s="105">
        <f t="shared" si="11"/>
        <v>0</v>
      </c>
      <c r="G269" s="132"/>
      <c r="H269" s="4"/>
    </row>
    <row r="270" spans="1:8" x14ac:dyDescent="0.25">
      <c r="A270" s="129" t="s">
        <v>213</v>
      </c>
      <c r="B270" s="129" t="s">
        <v>14</v>
      </c>
      <c r="C270" s="131">
        <v>100000</v>
      </c>
      <c r="D270" s="105"/>
      <c r="E270" s="105"/>
      <c r="F270" s="105">
        <f t="shared" si="11"/>
        <v>0</v>
      </c>
      <c r="G270" s="132"/>
      <c r="H270" s="4"/>
    </row>
    <row r="271" spans="1:8" x14ac:dyDescent="0.25">
      <c r="A271" s="129"/>
      <c r="B271" s="129" t="s">
        <v>15</v>
      </c>
      <c r="C271" s="131">
        <v>100000</v>
      </c>
      <c r="D271" s="105"/>
      <c r="E271" s="105"/>
      <c r="F271" s="105">
        <f t="shared" si="11"/>
        <v>0</v>
      </c>
      <c r="G271" s="132"/>
      <c r="H271" s="4"/>
    </row>
    <row r="272" spans="1:8" x14ac:dyDescent="0.25">
      <c r="A272" s="129"/>
      <c r="B272" s="129" t="s">
        <v>16</v>
      </c>
      <c r="C272" s="131">
        <v>100000</v>
      </c>
      <c r="D272" s="105"/>
      <c r="E272" s="105"/>
      <c r="F272" s="105">
        <f t="shared" si="11"/>
        <v>0</v>
      </c>
      <c r="G272" s="132"/>
      <c r="H272" s="4"/>
    </row>
    <row r="273" spans="1:8" ht="16.5" thickBot="1" x14ac:dyDescent="0.3">
      <c r="A273" s="129"/>
      <c r="B273" s="129" t="s">
        <v>17</v>
      </c>
      <c r="C273" s="133">
        <v>100000</v>
      </c>
      <c r="D273" s="105"/>
      <c r="E273" s="105"/>
      <c r="F273" s="105">
        <f t="shared" si="11"/>
        <v>0</v>
      </c>
      <c r="G273" s="132"/>
      <c r="H273" s="4"/>
    </row>
    <row r="274" spans="1:8" ht="16.5" thickBot="1" x14ac:dyDescent="0.3">
      <c r="A274" s="210" t="s">
        <v>183</v>
      </c>
      <c r="B274" s="211"/>
      <c r="C274" s="109">
        <f>SUM(C263:C273)</f>
        <v>1500000</v>
      </c>
      <c r="D274" s="210" t="s">
        <v>184</v>
      </c>
      <c r="E274" s="211"/>
      <c r="F274" s="134">
        <f>SUM(F263:F273)</f>
        <v>250000</v>
      </c>
      <c r="G274" s="101"/>
      <c r="H274" s="4"/>
    </row>
    <row r="275" spans="1:8" ht="16.5" thickBot="1" x14ac:dyDescent="0.3">
      <c r="D275" s="210" t="s">
        <v>181</v>
      </c>
      <c r="E275" s="211"/>
      <c r="F275" s="115">
        <f>C274-F274</f>
        <v>1250000</v>
      </c>
      <c r="G275" s="101"/>
      <c r="H275" s="4"/>
    </row>
    <row r="276" spans="1:8" x14ac:dyDescent="0.25">
      <c r="F276" s="135"/>
      <c r="G276" s="101"/>
      <c r="H276" s="4"/>
    </row>
    <row r="277" spans="1:8" ht="21" x14ac:dyDescent="0.35">
      <c r="A277" s="96"/>
      <c r="B277" s="96"/>
      <c r="C277" s="97" t="s">
        <v>194</v>
      </c>
      <c r="D277" s="96"/>
      <c r="E277" s="96"/>
      <c r="F277" s="96"/>
      <c r="G277" s="97"/>
      <c r="H277" s="4"/>
    </row>
    <row r="278" spans="1:8" x14ac:dyDescent="0.25">
      <c r="F278" s="100"/>
      <c r="G278" s="101"/>
      <c r="H278" s="4"/>
    </row>
    <row r="279" spans="1:8" ht="16.5" thickBot="1" x14ac:dyDescent="0.3">
      <c r="F279" s="100"/>
      <c r="G279" s="101"/>
      <c r="H279" s="4"/>
    </row>
    <row r="280" spans="1:8" ht="16.5" thickBot="1" x14ac:dyDescent="0.3">
      <c r="A280" s="117" t="s">
        <v>70</v>
      </c>
      <c r="B280" s="118" t="s">
        <v>71</v>
      </c>
      <c r="C280" s="118" t="s">
        <v>72</v>
      </c>
      <c r="D280" s="119" t="s">
        <v>0</v>
      </c>
      <c r="E280" s="100"/>
      <c r="F280" s="100"/>
      <c r="G280" s="101"/>
      <c r="H280" s="4"/>
    </row>
    <row r="281" spans="1:8" ht="16.5" thickBot="1" x14ac:dyDescent="0.3">
      <c r="A281" s="120" t="s">
        <v>141</v>
      </c>
      <c r="B281" s="121">
        <v>20</v>
      </c>
      <c r="C281" s="127" t="s">
        <v>142</v>
      </c>
      <c r="D281" s="123"/>
      <c r="E281" s="100"/>
      <c r="F281" s="100"/>
      <c r="G281" s="101"/>
      <c r="H281" s="4"/>
    </row>
    <row r="282" spans="1:8" ht="16.5" thickBot="1" x14ac:dyDescent="0.3">
      <c r="A282" s="117" t="s">
        <v>1</v>
      </c>
      <c r="B282" s="118" t="s">
        <v>30</v>
      </c>
      <c r="C282" s="118" t="s">
        <v>2</v>
      </c>
      <c r="D282" s="118" t="s">
        <v>3</v>
      </c>
      <c r="E282" s="118" t="s">
        <v>4</v>
      </c>
      <c r="F282" s="103" t="s">
        <v>35</v>
      </c>
      <c r="G282" s="128" t="s">
        <v>6</v>
      </c>
      <c r="H282" s="4"/>
    </row>
    <row r="283" spans="1:8" x14ac:dyDescent="0.25">
      <c r="A283" s="129" t="s">
        <v>229</v>
      </c>
      <c r="B283" s="129" t="s">
        <v>7</v>
      </c>
      <c r="C283" s="131">
        <v>100000</v>
      </c>
      <c r="D283" s="105"/>
      <c r="E283" s="105"/>
      <c r="F283" s="105">
        <f>SUM(D283:E283)</f>
        <v>0</v>
      </c>
      <c r="G283" s="132"/>
      <c r="H283" s="4"/>
    </row>
    <row r="284" spans="1:8" x14ac:dyDescent="0.25">
      <c r="A284" s="129" t="s">
        <v>230</v>
      </c>
      <c r="B284" s="129" t="s">
        <v>8</v>
      </c>
      <c r="C284" s="131">
        <v>100000</v>
      </c>
      <c r="D284" s="105"/>
      <c r="E284" s="105"/>
      <c r="F284" s="105">
        <f t="shared" ref="F284:F302" si="12">SUM(D284:E284)</f>
        <v>0</v>
      </c>
      <c r="G284" s="132"/>
      <c r="H284" s="4"/>
    </row>
    <row r="285" spans="1:8" x14ac:dyDescent="0.25">
      <c r="A285" s="136" t="s">
        <v>231</v>
      </c>
      <c r="B285" s="136" t="s">
        <v>9</v>
      </c>
      <c r="C285" s="137">
        <v>100000</v>
      </c>
      <c r="D285" s="138">
        <v>100000</v>
      </c>
      <c r="E285" s="138"/>
      <c r="F285" s="105">
        <f t="shared" si="12"/>
        <v>100000</v>
      </c>
      <c r="G285" s="139" t="s">
        <v>31</v>
      </c>
      <c r="H285" s="4"/>
    </row>
    <row r="286" spans="1:8" x14ac:dyDescent="0.25">
      <c r="A286" s="136" t="s">
        <v>231</v>
      </c>
      <c r="B286" s="136" t="s">
        <v>10</v>
      </c>
      <c r="C286" s="137">
        <v>100000</v>
      </c>
      <c r="D286" s="138">
        <v>100000</v>
      </c>
      <c r="E286" s="138"/>
      <c r="F286" s="105">
        <f t="shared" si="12"/>
        <v>100000</v>
      </c>
      <c r="G286" s="139" t="s">
        <v>31</v>
      </c>
      <c r="H286" s="4"/>
    </row>
    <row r="287" spans="1:8" x14ac:dyDescent="0.25">
      <c r="A287" s="129" t="s">
        <v>232</v>
      </c>
      <c r="B287" s="129" t="s">
        <v>11</v>
      </c>
      <c r="C287" s="131">
        <v>100000</v>
      </c>
      <c r="D287" s="105"/>
      <c r="E287" s="105"/>
      <c r="F287" s="105">
        <f t="shared" si="12"/>
        <v>0</v>
      </c>
      <c r="G287" s="132"/>
      <c r="H287" s="4"/>
    </row>
    <row r="288" spans="1:8" x14ac:dyDescent="0.25">
      <c r="A288" s="129" t="s">
        <v>233</v>
      </c>
      <c r="B288" s="129" t="s">
        <v>12</v>
      </c>
      <c r="C288" s="131">
        <v>100000</v>
      </c>
      <c r="D288" s="105"/>
      <c r="E288" s="105"/>
      <c r="F288" s="105">
        <f t="shared" si="12"/>
        <v>0</v>
      </c>
      <c r="G288" s="132"/>
      <c r="H288" s="4"/>
    </row>
    <row r="289" spans="1:8" x14ac:dyDescent="0.25">
      <c r="A289" s="136" t="s">
        <v>174</v>
      </c>
      <c r="B289" s="136" t="s">
        <v>13</v>
      </c>
      <c r="C289" s="137">
        <v>100000</v>
      </c>
      <c r="D289" s="138">
        <v>100000</v>
      </c>
      <c r="E289" s="138"/>
      <c r="F289" s="105">
        <f t="shared" si="12"/>
        <v>100000</v>
      </c>
      <c r="G289" s="139" t="s">
        <v>31</v>
      </c>
      <c r="H289" s="4"/>
    </row>
    <row r="290" spans="1:8" x14ac:dyDescent="0.25">
      <c r="A290" s="136" t="s">
        <v>234</v>
      </c>
      <c r="B290" s="136" t="s">
        <v>14</v>
      </c>
      <c r="C290" s="137">
        <v>100000</v>
      </c>
      <c r="D290" s="138">
        <v>100000</v>
      </c>
      <c r="E290" s="138"/>
      <c r="F290" s="105">
        <f t="shared" si="12"/>
        <v>100000</v>
      </c>
      <c r="G290" s="139" t="s">
        <v>31</v>
      </c>
      <c r="H290" s="4"/>
    </row>
    <row r="291" spans="1:8" x14ac:dyDescent="0.25">
      <c r="A291" s="129" t="s">
        <v>235</v>
      </c>
      <c r="B291" s="129" t="s">
        <v>15</v>
      </c>
      <c r="C291" s="131">
        <v>100000</v>
      </c>
      <c r="D291" s="105"/>
      <c r="E291" s="105"/>
      <c r="F291" s="105">
        <f t="shared" si="12"/>
        <v>0</v>
      </c>
      <c r="G291" s="132"/>
      <c r="H291" s="4"/>
    </row>
    <row r="292" spans="1:8" x14ac:dyDescent="0.25">
      <c r="A292" s="129"/>
      <c r="B292" s="129" t="s">
        <v>16</v>
      </c>
      <c r="C292" s="131">
        <v>100000</v>
      </c>
      <c r="D292" s="105"/>
      <c r="E292" s="105"/>
      <c r="F292" s="105">
        <f t="shared" si="12"/>
        <v>0</v>
      </c>
      <c r="G292" s="132"/>
      <c r="H292" s="4"/>
    </row>
    <row r="293" spans="1:8" x14ac:dyDescent="0.25">
      <c r="A293" s="129"/>
      <c r="B293" s="129" t="s">
        <v>17</v>
      </c>
      <c r="C293" s="131">
        <v>100000</v>
      </c>
      <c r="D293" s="105"/>
      <c r="E293" s="105"/>
      <c r="F293" s="105">
        <f t="shared" si="12"/>
        <v>0</v>
      </c>
      <c r="G293" s="132"/>
      <c r="H293" s="4"/>
    </row>
    <row r="294" spans="1:8" x14ac:dyDescent="0.25">
      <c r="A294" s="129" t="s">
        <v>236</v>
      </c>
      <c r="B294" s="129" t="s">
        <v>18</v>
      </c>
      <c r="C294" s="131">
        <v>100000</v>
      </c>
      <c r="D294" s="105"/>
      <c r="E294" s="105"/>
      <c r="F294" s="105">
        <f t="shared" si="12"/>
        <v>0</v>
      </c>
      <c r="G294" s="132"/>
      <c r="H294" s="4"/>
    </row>
    <row r="295" spans="1:8" x14ac:dyDescent="0.25">
      <c r="A295" s="129" t="s">
        <v>236</v>
      </c>
      <c r="B295" s="129" t="s">
        <v>19</v>
      </c>
      <c r="C295" s="131">
        <v>100000</v>
      </c>
      <c r="D295" s="105"/>
      <c r="E295" s="105"/>
      <c r="F295" s="105">
        <f t="shared" si="12"/>
        <v>0</v>
      </c>
      <c r="G295" s="132"/>
      <c r="H295" s="4"/>
    </row>
    <row r="296" spans="1:8" x14ac:dyDescent="0.25">
      <c r="A296" s="129"/>
      <c r="B296" s="129" t="s">
        <v>20</v>
      </c>
      <c r="C296" s="131">
        <v>100000</v>
      </c>
      <c r="D296" s="105"/>
      <c r="E296" s="105"/>
      <c r="F296" s="105">
        <f t="shared" si="12"/>
        <v>0</v>
      </c>
      <c r="G296" s="132"/>
      <c r="H296" s="4"/>
    </row>
    <row r="297" spans="1:8" x14ac:dyDescent="0.25">
      <c r="A297" s="129"/>
      <c r="B297" s="129" t="s">
        <v>21</v>
      </c>
      <c r="C297" s="131">
        <v>100000</v>
      </c>
      <c r="D297" s="105"/>
      <c r="E297" s="105"/>
      <c r="F297" s="105">
        <f t="shared" si="12"/>
        <v>0</v>
      </c>
      <c r="G297" s="132"/>
      <c r="H297" s="4"/>
    </row>
    <row r="298" spans="1:8" x14ac:dyDescent="0.25">
      <c r="A298" s="136" t="s">
        <v>237</v>
      </c>
      <c r="B298" s="136" t="s">
        <v>22</v>
      </c>
      <c r="C298" s="137">
        <v>100000</v>
      </c>
      <c r="D298" s="138">
        <v>100000</v>
      </c>
      <c r="E298" s="138"/>
      <c r="F298" s="105">
        <f t="shared" si="12"/>
        <v>100000</v>
      </c>
      <c r="G298" s="139" t="s">
        <v>31</v>
      </c>
      <c r="H298" s="4"/>
    </row>
    <row r="299" spans="1:8" x14ac:dyDescent="0.25">
      <c r="A299" s="136" t="s">
        <v>237</v>
      </c>
      <c r="B299" s="136" t="s">
        <v>23</v>
      </c>
      <c r="C299" s="137">
        <v>100000</v>
      </c>
      <c r="D299" s="138">
        <v>100000</v>
      </c>
      <c r="E299" s="138"/>
      <c r="F299" s="105">
        <f t="shared" si="12"/>
        <v>100000</v>
      </c>
      <c r="G299" s="139" t="s">
        <v>31</v>
      </c>
      <c r="H299" s="4"/>
    </row>
    <row r="300" spans="1:8" x14ac:dyDescent="0.25">
      <c r="A300" s="129" t="s">
        <v>238</v>
      </c>
      <c r="B300" s="129" t="s">
        <v>24</v>
      </c>
      <c r="C300" s="131">
        <v>100000</v>
      </c>
      <c r="D300" s="105"/>
      <c r="E300" s="105"/>
      <c r="F300" s="105">
        <f t="shared" si="12"/>
        <v>0</v>
      </c>
      <c r="G300" s="132"/>
      <c r="H300" s="4"/>
    </row>
    <row r="301" spans="1:8" x14ac:dyDescent="0.25">
      <c r="A301" s="129" t="s">
        <v>238</v>
      </c>
      <c r="B301" s="129" t="s">
        <v>25</v>
      </c>
      <c r="C301" s="131">
        <v>100000</v>
      </c>
      <c r="D301" s="105"/>
      <c r="E301" s="105"/>
      <c r="F301" s="105">
        <f t="shared" si="12"/>
        <v>0</v>
      </c>
      <c r="G301" s="132"/>
      <c r="H301" s="4"/>
    </row>
    <row r="302" spans="1:8" ht="16.5" thickBot="1" x14ac:dyDescent="0.3">
      <c r="A302" s="129"/>
      <c r="B302" s="129" t="s">
        <v>26</v>
      </c>
      <c r="C302" s="133">
        <v>100000</v>
      </c>
      <c r="D302" s="105"/>
      <c r="E302" s="105"/>
      <c r="F302" s="105">
        <f t="shared" si="12"/>
        <v>0</v>
      </c>
      <c r="G302" s="132"/>
      <c r="H302" s="4"/>
    </row>
    <row r="303" spans="1:8" ht="16.5" thickBot="1" x14ac:dyDescent="0.3">
      <c r="A303" s="210" t="s">
        <v>183</v>
      </c>
      <c r="B303" s="211"/>
      <c r="C303" s="109">
        <f>SUM(C283:C302)</f>
        <v>2000000</v>
      </c>
      <c r="D303" s="210" t="s">
        <v>184</v>
      </c>
      <c r="E303" s="211"/>
      <c r="F303" s="134">
        <f>SUM(F283:F302)</f>
        <v>600000</v>
      </c>
      <c r="G303" s="101"/>
      <c r="H303" s="4"/>
    </row>
    <row r="304" spans="1:8" ht="16.5" thickBot="1" x14ac:dyDescent="0.3">
      <c r="D304" s="210" t="s">
        <v>181</v>
      </c>
      <c r="E304" s="211"/>
      <c r="F304" s="115">
        <f>C303-F303</f>
        <v>1400000</v>
      </c>
      <c r="G304" s="101"/>
      <c r="H304" s="4"/>
    </row>
    <row r="305" spans="1:8" x14ac:dyDescent="0.25">
      <c r="D305" s="100"/>
      <c r="E305" s="100"/>
      <c r="F305" s="100"/>
      <c r="G305" s="101"/>
      <c r="H305" s="4"/>
    </row>
    <row r="306" spans="1:8" x14ac:dyDescent="0.25">
      <c r="D306" s="100"/>
      <c r="E306" s="100"/>
      <c r="F306" s="100"/>
      <c r="G306" s="101"/>
      <c r="H306" s="4"/>
    </row>
    <row r="307" spans="1:8" ht="16.5" thickBot="1" x14ac:dyDescent="0.3">
      <c r="D307" s="100"/>
      <c r="E307" s="100"/>
      <c r="F307" s="100"/>
      <c r="G307" s="101"/>
      <c r="H307" s="4"/>
    </row>
    <row r="308" spans="1:8" ht="16.5" thickBot="1" x14ac:dyDescent="0.3">
      <c r="A308" s="117" t="s">
        <v>70</v>
      </c>
      <c r="B308" s="118" t="s">
        <v>71</v>
      </c>
      <c r="C308" s="118" t="s">
        <v>72</v>
      </c>
      <c r="D308" s="119" t="s">
        <v>0</v>
      </c>
      <c r="E308" s="100"/>
      <c r="F308" s="100"/>
      <c r="G308" s="101"/>
      <c r="H308" s="4"/>
    </row>
    <row r="309" spans="1:8" ht="16.5" thickBot="1" x14ac:dyDescent="0.3">
      <c r="A309" s="120" t="s">
        <v>143</v>
      </c>
      <c r="B309" s="121">
        <v>20</v>
      </c>
      <c r="C309" s="122" t="s">
        <v>144</v>
      </c>
      <c r="D309" s="123"/>
      <c r="E309" s="100"/>
      <c r="F309" s="100"/>
      <c r="G309" s="101"/>
      <c r="H309" s="4"/>
    </row>
    <row r="310" spans="1:8" ht="16.5" thickBot="1" x14ac:dyDescent="0.3">
      <c r="A310" s="117" t="s">
        <v>1</v>
      </c>
      <c r="B310" s="118" t="s">
        <v>30</v>
      </c>
      <c r="C310" s="118" t="s">
        <v>2</v>
      </c>
      <c r="D310" s="118" t="s">
        <v>3</v>
      </c>
      <c r="E310" s="118" t="s">
        <v>4</v>
      </c>
      <c r="F310" s="103" t="s">
        <v>35</v>
      </c>
      <c r="G310" s="128" t="s">
        <v>6</v>
      </c>
      <c r="H310" s="4"/>
    </row>
    <row r="311" spans="1:8" x14ac:dyDescent="0.25">
      <c r="A311" s="129"/>
      <c r="B311" s="129" t="s">
        <v>7</v>
      </c>
      <c r="C311" s="131">
        <v>100000</v>
      </c>
      <c r="D311" s="105"/>
      <c r="E311" s="105"/>
      <c r="F311" s="105">
        <f>SUM(D311:E311)</f>
        <v>0</v>
      </c>
      <c r="G311" s="132"/>
      <c r="H311" s="4"/>
    </row>
    <row r="312" spans="1:8" x14ac:dyDescent="0.25">
      <c r="A312" s="129"/>
      <c r="B312" s="129" t="s">
        <v>8</v>
      </c>
      <c r="C312" s="131">
        <v>100000</v>
      </c>
      <c r="D312" s="105"/>
      <c r="E312" s="105"/>
      <c r="F312" s="105">
        <f t="shared" ref="F312:F330" si="13">SUM(D312:E312)</f>
        <v>0</v>
      </c>
      <c r="G312" s="132"/>
      <c r="H312" s="4"/>
    </row>
    <row r="313" spans="1:8" x14ac:dyDescent="0.25">
      <c r="A313" s="129" t="s">
        <v>217</v>
      </c>
      <c r="B313" s="129" t="s">
        <v>9</v>
      </c>
      <c r="C313" s="131">
        <v>100000</v>
      </c>
      <c r="D313" s="105"/>
      <c r="E313" s="105"/>
      <c r="F313" s="105">
        <f t="shared" si="13"/>
        <v>0</v>
      </c>
      <c r="G313" s="132"/>
      <c r="H313" s="4"/>
    </row>
    <row r="314" spans="1:8" x14ac:dyDescent="0.25">
      <c r="A314" s="129" t="s">
        <v>218</v>
      </c>
      <c r="B314" s="129" t="s">
        <v>10</v>
      </c>
      <c r="C314" s="131">
        <v>100000</v>
      </c>
      <c r="D314" s="105"/>
      <c r="E314" s="105"/>
      <c r="F314" s="105">
        <f t="shared" si="13"/>
        <v>0</v>
      </c>
      <c r="G314" s="132"/>
      <c r="H314" s="4"/>
    </row>
    <row r="315" spans="1:8" x14ac:dyDescent="0.25">
      <c r="A315" s="129" t="s">
        <v>219</v>
      </c>
      <c r="B315" s="129" t="s">
        <v>11</v>
      </c>
      <c r="C315" s="131">
        <v>100000</v>
      </c>
      <c r="D315" s="105"/>
      <c r="E315" s="105"/>
      <c r="F315" s="105">
        <f t="shared" si="13"/>
        <v>0</v>
      </c>
      <c r="G315" s="132"/>
      <c r="H315" s="4"/>
    </row>
    <row r="316" spans="1:8" x14ac:dyDescent="0.25">
      <c r="A316" s="129"/>
      <c r="B316" s="129" t="s">
        <v>12</v>
      </c>
      <c r="C316" s="131">
        <v>100000</v>
      </c>
      <c r="D316" s="105"/>
      <c r="E316" s="105"/>
      <c r="F316" s="105">
        <f t="shared" si="13"/>
        <v>0</v>
      </c>
      <c r="G316" s="132"/>
      <c r="H316" s="4"/>
    </row>
    <row r="317" spans="1:8" x14ac:dyDescent="0.25">
      <c r="A317" s="129" t="s">
        <v>220</v>
      </c>
      <c r="B317" s="129" t="s">
        <v>13</v>
      </c>
      <c r="C317" s="131">
        <v>100000</v>
      </c>
      <c r="D317" s="105"/>
      <c r="E317" s="105"/>
      <c r="F317" s="105">
        <f t="shared" si="13"/>
        <v>0</v>
      </c>
      <c r="G317" s="132"/>
      <c r="H317" s="4"/>
    </row>
    <row r="318" spans="1:8" x14ac:dyDescent="0.25">
      <c r="A318" s="129" t="s">
        <v>213</v>
      </c>
      <c r="B318" s="129" t="s">
        <v>14</v>
      </c>
      <c r="C318" s="131">
        <v>100000</v>
      </c>
      <c r="D318" s="105"/>
      <c r="E318" s="105"/>
      <c r="F318" s="105">
        <f t="shared" si="13"/>
        <v>0</v>
      </c>
      <c r="G318" s="132"/>
      <c r="H318" s="4"/>
    </row>
    <row r="319" spans="1:8" x14ac:dyDescent="0.25">
      <c r="A319" s="136" t="s">
        <v>221</v>
      </c>
      <c r="B319" s="136" t="s">
        <v>15</v>
      </c>
      <c r="C319" s="137">
        <v>100000</v>
      </c>
      <c r="D319" s="138">
        <v>100000</v>
      </c>
      <c r="E319" s="138"/>
      <c r="F319" s="105">
        <f t="shared" si="13"/>
        <v>100000</v>
      </c>
      <c r="G319" s="139" t="s">
        <v>31</v>
      </c>
      <c r="H319" s="4"/>
    </row>
    <row r="320" spans="1:8" x14ac:dyDescent="0.25">
      <c r="A320" s="129" t="s">
        <v>222</v>
      </c>
      <c r="B320" s="129" t="s">
        <v>16</v>
      </c>
      <c r="C320" s="131">
        <v>100000</v>
      </c>
      <c r="D320" s="105"/>
      <c r="E320" s="105"/>
      <c r="F320" s="105">
        <f t="shared" si="13"/>
        <v>0</v>
      </c>
      <c r="G320" s="132"/>
      <c r="H320" s="4"/>
    </row>
    <row r="321" spans="1:8" x14ac:dyDescent="0.25">
      <c r="A321" s="129"/>
      <c r="B321" s="129" t="s">
        <v>17</v>
      </c>
      <c r="C321" s="131">
        <v>100000</v>
      </c>
      <c r="D321" s="105"/>
      <c r="E321" s="105"/>
      <c r="F321" s="105">
        <f t="shared" si="13"/>
        <v>0</v>
      </c>
      <c r="G321" s="132"/>
      <c r="H321" s="4"/>
    </row>
    <row r="322" spans="1:8" x14ac:dyDescent="0.25">
      <c r="A322" s="129" t="s">
        <v>223</v>
      </c>
      <c r="B322" s="129" t="s">
        <v>18</v>
      </c>
      <c r="C322" s="131">
        <v>100000</v>
      </c>
      <c r="D322" s="105"/>
      <c r="E322" s="105"/>
      <c r="F322" s="105">
        <f t="shared" si="13"/>
        <v>0</v>
      </c>
      <c r="G322" s="132"/>
      <c r="H322" s="4"/>
    </row>
    <row r="323" spans="1:8" x14ac:dyDescent="0.25">
      <c r="A323" s="129" t="s">
        <v>224</v>
      </c>
      <c r="B323" s="129" t="s">
        <v>19</v>
      </c>
      <c r="C323" s="131">
        <v>100000</v>
      </c>
      <c r="D323" s="105"/>
      <c r="E323" s="105"/>
      <c r="F323" s="105">
        <f t="shared" si="13"/>
        <v>0</v>
      </c>
      <c r="G323" s="132"/>
      <c r="H323" s="4"/>
    </row>
    <row r="324" spans="1:8" x14ac:dyDescent="0.25">
      <c r="A324" s="129"/>
      <c r="B324" s="129" t="s">
        <v>20</v>
      </c>
      <c r="C324" s="131">
        <v>100000</v>
      </c>
      <c r="D324" s="105"/>
      <c r="E324" s="105"/>
      <c r="F324" s="105">
        <f t="shared" si="13"/>
        <v>0</v>
      </c>
      <c r="G324" s="132"/>
      <c r="H324" s="4"/>
    </row>
    <row r="325" spans="1:8" x14ac:dyDescent="0.25">
      <c r="A325" s="129"/>
      <c r="B325" s="129" t="s">
        <v>21</v>
      </c>
      <c r="C325" s="131">
        <v>100000</v>
      </c>
      <c r="D325" s="105"/>
      <c r="E325" s="105"/>
      <c r="F325" s="105">
        <f t="shared" si="13"/>
        <v>0</v>
      </c>
      <c r="G325" s="132"/>
      <c r="H325" s="4"/>
    </row>
    <row r="326" spans="1:8" x14ac:dyDescent="0.25">
      <c r="A326" s="129"/>
      <c r="B326" s="129" t="s">
        <v>22</v>
      </c>
      <c r="C326" s="131">
        <v>100000</v>
      </c>
      <c r="D326" s="105"/>
      <c r="E326" s="105"/>
      <c r="F326" s="105">
        <f t="shared" si="13"/>
        <v>0</v>
      </c>
      <c r="G326" s="132"/>
      <c r="H326" s="4"/>
    </row>
    <row r="327" spans="1:8" x14ac:dyDescent="0.25">
      <c r="A327" s="129" t="s">
        <v>225</v>
      </c>
      <c r="B327" s="129" t="s">
        <v>23</v>
      </c>
      <c r="C327" s="131">
        <v>100000</v>
      </c>
      <c r="D327" s="105"/>
      <c r="E327" s="105"/>
      <c r="F327" s="105">
        <f t="shared" si="13"/>
        <v>0</v>
      </c>
      <c r="G327" s="132"/>
      <c r="H327" s="4"/>
    </row>
    <row r="328" spans="1:8" x14ac:dyDescent="0.25">
      <c r="A328" s="129" t="s">
        <v>226</v>
      </c>
      <c r="B328" s="129" t="s">
        <v>24</v>
      </c>
      <c r="C328" s="131">
        <v>100000</v>
      </c>
      <c r="D328" s="105"/>
      <c r="E328" s="105"/>
      <c r="F328" s="105">
        <f t="shared" si="13"/>
        <v>0</v>
      </c>
      <c r="G328" s="132"/>
      <c r="H328" s="4"/>
    </row>
    <row r="329" spans="1:8" x14ac:dyDescent="0.25">
      <c r="A329" s="129" t="s">
        <v>227</v>
      </c>
      <c r="B329" s="129" t="s">
        <v>25</v>
      </c>
      <c r="C329" s="131">
        <v>100000</v>
      </c>
      <c r="D329" s="105"/>
      <c r="E329" s="105"/>
      <c r="F329" s="105">
        <f t="shared" si="13"/>
        <v>0</v>
      </c>
      <c r="G329" s="132"/>
      <c r="H329" s="4"/>
    </row>
    <row r="330" spans="1:8" ht="16.5" thickBot="1" x14ac:dyDescent="0.3">
      <c r="A330" s="129" t="s">
        <v>228</v>
      </c>
      <c r="B330" s="129" t="s">
        <v>26</v>
      </c>
      <c r="C330" s="133">
        <v>100000</v>
      </c>
      <c r="D330" s="105"/>
      <c r="E330" s="105"/>
      <c r="F330" s="105">
        <f t="shared" si="13"/>
        <v>0</v>
      </c>
      <c r="G330" s="132"/>
      <c r="H330" s="4"/>
    </row>
    <row r="331" spans="1:8" ht="16.5" thickBot="1" x14ac:dyDescent="0.3">
      <c r="A331" s="210" t="s">
        <v>183</v>
      </c>
      <c r="B331" s="211"/>
      <c r="C331" s="109">
        <f>SUM(C311:C330)</f>
        <v>2000000</v>
      </c>
      <c r="D331" s="210" t="s">
        <v>184</v>
      </c>
      <c r="E331" s="211"/>
      <c r="F331" s="134">
        <f>SUM(F311:F330)</f>
        <v>100000</v>
      </c>
      <c r="G331" s="101"/>
      <c r="H331" s="4"/>
    </row>
    <row r="332" spans="1:8" ht="16.5" thickBot="1" x14ac:dyDescent="0.3">
      <c r="D332" s="210" t="s">
        <v>181</v>
      </c>
      <c r="E332" s="211"/>
      <c r="F332" s="115">
        <f>C331-F331</f>
        <v>1900000</v>
      </c>
      <c r="G332" s="101"/>
      <c r="H332" s="4"/>
    </row>
    <row r="333" spans="1:8" x14ac:dyDescent="0.25">
      <c r="G333" s="101"/>
      <c r="H333" s="4"/>
    </row>
    <row r="334" spans="1:8" ht="21" x14ac:dyDescent="0.35">
      <c r="A334" s="96"/>
      <c r="B334" s="96"/>
      <c r="C334" s="97" t="s">
        <v>194</v>
      </c>
      <c r="D334" s="96"/>
      <c r="E334" s="96"/>
      <c r="F334" s="96"/>
      <c r="G334" s="97"/>
      <c r="H334" s="4"/>
    </row>
    <row r="335" spans="1:8" ht="16.5" thickBot="1" x14ac:dyDescent="0.3">
      <c r="D335" s="100"/>
      <c r="E335" s="100"/>
      <c r="F335" s="100"/>
      <c r="G335" s="101"/>
      <c r="H335" s="4"/>
    </row>
    <row r="336" spans="1:8" ht="16.5" thickBot="1" x14ac:dyDescent="0.3">
      <c r="A336" s="117" t="s">
        <v>70</v>
      </c>
      <c r="B336" s="118" t="s">
        <v>71</v>
      </c>
      <c r="C336" s="118" t="s">
        <v>72</v>
      </c>
      <c r="D336" s="119" t="s">
        <v>0</v>
      </c>
      <c r="E336" s="100"/>
      <c r="F336" s="100"/>
      <c r="G336" s="101"/>
      <c r="H336" s="4"/>
    </row>
    <row r="337" spans="1:8" ht="16.5" thickBot="1" x14ac:dyDescent="0.3">
      <c r="A337" s="120" t="s">
        <v>145</v>
      </c>
      <c r="B337" s="121">
        <v>30</v>
      </c>
      <c r="C337" s="122" t="s">
        <v>146</v>
      </c>
      <c r="D337" s="123"/>
      <c r="E337" s="100"/>
      <c r="F337" s="100"/>
      <c r="G337" s="101"/>
      <c r="H337" s="4"/>
    </row>
    <row r="338" spans="1:8" ht="16.5" thickBot="1" x14ac:dyDescent="0.3">
      <c r="A338" s="117" t="s">
        <v>1</v>
      </c>
      <c r="B338" s="118" t="s">
        <v>30</v>
      </c>
      <c r="C338" s="118" t="s">
        <v>2</v>
      </c>
      <c r="D338" s="118" t="s">
        <v>3</v>
      </c>
      <c r="E338" s="118" t="s">
        <v>4</v>
      </c>
      <c r="F338" s="103" t="s">
        <v>35</v>
      </c>
      <c r="G338" s="128" t="s">
        <v>6</v>
      </c>
      <c r="H338" s="4"/>
    </row>
    <row r="339" spans="1:8" x14ac:dyDescent="0.25">
      <c r="A339" s="129"/>
      <c r="B339" s="129" t="s">
        <v>7</v>
      </c>
      <c r="C339" s="131">
        <v>100000</v>
      </c>
      <c r="D339" s="105"/>
      <c r="E339" s="105"/>
      <c r="F339" s="105">
        <f>SUM(D339:E339)</f>
        <v>0</v>
      </c>
      <c r="G339" s="132"/>
      <c r="H339" s="4"/>
    </row>
    <row r="340" spans="1:8" x14ac:dyDescent="0.25">
      <c r="A340" s="129"/>
      <c r="B340" s="129" t="s">
        <v>8</v>
      </c>
      <c r="C340" s="131">
        <v>100000</v>
      </c>
      <c r="D340" s="105"/>
      <c r="E340" s="105"/>
      <c r="F340" s="105">
        <f t="shared" ref="F340:F368" si="14">SUM(D340:E340)</f>
        <v>0</v>
      </c>
      <c r="G340" s="132"/>
      <c r="H340" s="4"/>
    </row>
    <row r="341" spans="1:8" x14ac:dyDescent="0.25">
      <c r="A341" s="129"/>
      <c r="B341" s="129" t="s">
        <v>9</v>
      </c>
      <c r="C341" s="131">
        <v>100000</v>
      </c>
      <c r="D341" s="105"/>
      <c r="E341" s="105"/>
      <c r="F341" s="105">
        <f t="shared" si="14"/>
        <v>0</v>
      </c>
      <c r="G341" s="132"/>
      <c r="H341" s="4"/>
    </row>
    <row r="342" spans="1:8" x14ac:dyDescent="0.25">
      <c r="A342" s="129"/>
      <c r="B342" s="129" t="s">
        <v>10</v>
      </c>
      <c r="C342" s="131">
        <v>100000</v>
      </c>
      <c r="D342" s="105"/>
      <c r="E342" s="105"/>
      <c r="F342" s="105">
        <f t="shared" si="14"/>
        <v>0</v>
      </c>
      <c r="G342" s="132"/>
      <c r="H342" s="4"/>
    </row>
    <row r="343" spans="1:8" x14ac:dyDescent="0.25">
      <c r="A343" s="129"/>
      <c r="B343" s="129" t="s">
        <v>11</v>
      </c>
      <c r="C343" s="131">
        <v>100000</v>
      </c>
      <c r="D343" s="105"/>
      <c r="E343" s="105"/>
      <c r="F343" s="105">
        <f t="shared" si="14"/>
        <v>0</v>
      </c>
      <c r="G343" s="132"/>
      <c r="H343" s="4"/>
    </row>
    <row r="344" spans="1:8" x14ac:dyDescent="0.25">
      <c r="A344" s="129"/>
      <c r="B344" s="129" t="s">
        <v>12</v>
      </c>
      <c r="C344" s="131">
        <v>100000</v>
      </c>
      <c r="D344" s="105"/>
      <c r="E344" s="105"/>
      <c r="F344" s="105">
        <f t="shared" si="14"/>
        <v>0</v>
      </c>
      <c r="G344" s="132"/>
      <c r="H344" s="4"/>
    </row>
    <row r="345" spans="1:8" x14ac:dyDescent="0.25">
      <c r="A345" s="129"/>
      <c r="B345" s="129" t="s">
        <v>13</v>
      </c>
      <c r="C345" s="131">
        <v>100000</v>
      </c>
      <c r="D345" s="105"/>
      <c r="E345" s="105"/>
      <c r="F345" s="105">
        <f t="shared" si="14"/>
        <v>0</v>
      </c>
      <c r="G345" s="132"/>
      <c r="H345" s="4"/>
    </row>
    <row r="346" spans="1:8" x14ac:dyDescent="0.25">
      <c r="A346" s="129"/>
      <c r="B346" s="129" t="s">
        <v>14</v>
      </c>
      <c r="C346" s="131">
        <v>100000</v>
      </c>
      <c r="D346" s="105"/>
      <c r="E346" s="105"/>
      <c r="F346" s="105">
        <f t="shared" si="14"/>
        <v>0</v>
      </c>
      <c r="G346" s="132"/>
      <c r="H346" s="4"/>
    </row>
    <row r="347" spans="1:8" x14ac:dyDescent="0.25">
      <c r="A347" s="129"/>
      <c r="B347" s="129" t="s">
        <v>15</v>
      </c>
      <c r="C347" s="131">
        <v>100000</v>
      </c>
      <c r="D347" s="105"/>
      <c r="E347" s="105"/>
      <c r="F347" s="105">
        <f t="shared" si="14"/>
        <v>0</v>
      </c>
      <c r="G347" s="132"/>
      <c r="H347" s="4"/>
    </row>
    <row r="348" spans="1:8" x14ac:dyDescent="0.25">
      <c r="A348" s="129"/>
      <c r="B348" s="129" t="s">
        <v>16</v>
      </c>
      <c r="C348" s="131">
        <v>100000</v>
      </c>
      <c r="D348" s="105"/>
      <c r="E348" s="105"/>
      <c r="F348" s="105">
        <f t="shared" si="14"/>
        <v>0</v>
      </c>
      <c r="G348" s="132"/>
      <c r="H348" s="4"/>
    </row>
    <row r="349" spans="1:8" x14ac:dyDescent="0.25">
      <c r="A349" s="129"/>
      <c r="B349" s="129" t="s">
        <v>17</v>
      </c>
      <c r="C349" s="131">
        <v>100000</v>
      </c>
      <c r="D349" s="105"/>
      <c r="E349" s="105"/>
      <c r="F349" s="105">
        <f t="shared" si="14"/>
        <v>0</v>
      </c>
      <c r="G349" s="132"/>
      <c r="H349" s="4"/>
    </row>
    <row r="350" spans="1:8" x14ac:dyDescent="0.25">
      <c r="A350" s="129"/>
      <c r="B350" s="129" t="s">
        <v>18</v>
      </c>
      <c r="C350" s="131">
        <v>100000</v>
      </c>
      <c r="D350" s="105"/>
      <c r="E350" s="105"/>
      <c r="F350" s="105">
        <f t="shared" si="14"/>
        <v>0</v>
      </c>
      <c r="G350" s="132"/>
      <c r="H350" s="4"/>
    </row>
    <row r="351" spans="1:8" x14ac:dyDescent="0.25">
      <c r="A351" s="129"/>
      <c r="B351" s="129" t="s">
        <v>19</v>
      </c>
      <c r="C351" s="131">
        <v>100000</v>
      </c>
      <c r="D351" s="105"/>
      <c r="E351" s="105"/>
      <c r="F351" s="105">
        <f t="shared" si="14"/>
        <v>0</v>
      </c>
      <c r="G351" s="132"/>
      <c r="H351" s="4"/>
    </row>
    <row r="352" spans="1:8" x14ac:dyDescent="0.25">
      <c r="A352" s="129"/>
      <c r="B352" s="129" t="s">
        <v>20</v>
      </c>
      <c r="C352" s="131">
        <v>100000</v>
      </c>
      <c r="D352" s="105"/>
      <c r="E352" s="105"/>
      <c r="F352" s="105">
        <f t="shared" si="14"/>
        <v>0</v>
      </c>
      <c r="G352" s="132"/>
      <c r="H352" s="4"/>
    </row>
    <row r="353" spans="1:8" x14ac:dyDescent="0.25">
      <c r="A353" s="129"/>
      <c r="B353" s="129" t="s">
        <v>21</v>
      </c>
      <c r="C353" s="131">
        <v>100000</v>
      </c>
      <c r="D353" s="105"/>
      <c r="E353" s="105"/>
      <c r="F353" s="105">
        <f t="shared" si="14"/>
        <v>0</v>
      </c>
      <c r="G353" s="132"/>
      <c r="H353" s="4"/>
    </row>
    <row r="354" spans="1:8" x14ac:dyDescent="0.25">
      <c r="A354" s="129"/>
      <c r="B354" s="129" t="s">
        <v>22</v>
      </c>
      <c r="C354" s="131">
        <v>100000</v>
      </c>
      <c r="D354" s="105"/>
      <c r="E354" s="105"/>
      <c r="F354" s="105">
        <f t="shared" si="14"/>
        <v>0</v>
      </c>
      <c r="G354" s="132"/>
      <c r="H354" s="4"/>
    </row>
    <row r="355" spans="1:8" x14ac:dyDescent="0.25">
      <c r="A355" s="129"/>
      <c r="B355" s="129" t="s">
        <v>23</v>
      </c>
      <c r="C355" s="131">
        <v>100000</v>
      </c>
      <c r="D355" s="105"/>
      <c r="E355" s="105"/>
      <c r="F355" s="105">
        <f t="shared" si="14"/>
        <v>0</v>
      </c>
      <c r="G355" s="132"/>
      <c r="H355" s="4"/>
    </row>
    <row r="356" spans="1:8" x14ac:dyDescent="0.25">
      <c r="A356" s="129"/>
      <c r="B356" s="129" t="s">
        <v>24</v>
      </c>
      <c r="C356" s="131">
        <v>100000</v>
      </c>
      <c r="D356" s="105"/>
      <c r="E356" s="105"/>
      <c r="F356" s="105">
        <f t="shared" si="14"/>
        <v>0</v>
      </c>
      <c r="G356" s="132"/>
      <c r="H356" s="4"/>
    </row>
    <row r="357" spans="1:8" x14ac:dyDescent="0.25">
      <c r="A357" s="129"/>
      <c r="B357" s="129" t="s">
        <v>25</v>
      </c>
      <c r="C357" s="131">
        <v>100000</v>
      </c>
      <c r="D357" s="105"/>
      <c r="E357" s="105"/>
      <c r="F357" s="105">
        <f t="shared" si="14"/>
        <v>0</v>
      </c>
      <c r="G357" s="132"/>
      <c r="H357" s="4"/>
    </row>
    <row r="358" spans="1:8" x14ac:dyDescent="0.25">
      <c r="A358" s="129"/>
      <c r="B358" s="129" t="s">
        <v>26</v>
      </c>
      <c r="C358" s="131">
        <v>100000</v>
      </c>
      <c r="D358" s="105"/>
      <c r="E358" s="105"/>
      <c r="F358" s="105">
        <f t="shared" si="14"/>
        <v>0</v>
      </c>
      <c r="G358" s="132"/>
      <c r="H358" s="4"/>
    </row>
    <row r="359" spans="1:8" x14ac:dyDescent="0.25">
      <c r="A359" s="129"/>
      <c r="B359" s="129" t="s">
        <v>37</v>
      </c>
      <c r="C359" s="131">
        <v>100000</v>
      </c>
      <c r="D359" s="105"/>
      <c r="E359" s="105"/>
      <c r="F359" s="105">
        <f t="shared" si="14"/>
        <v>0</v>
      </c>
      <c r="G359" s="132"/>
      <c r="H359" s="4"/>
    </row>
    <row r="360" spans="1:8" x14ac:dyDescent="0.25">
      <c r="A360" s="129"/>
      <c r="B360" s="129" t="s">
        <v>38</v>
      </c>
      <c r="C360" s="131">
        <v>100000</v>
      </c>
      <c r="D360" s="105"/>
      <c r="E360" s="105"/>
      <c r="F360" s="105">
        <f t="shared" si="14"/>
        <v>0</v>
      </c>
      <c r="G360" s="132"/>
      <c r="H360" s="4"/>
    </row>
    <row r="361" spans="1:8" x14ac:dyDescent="0.25">
      <c r="A361" s="129"/>
      <c r="B361" s="129" t="s">
        <v>74</v>
      </c>
      <c r="C361" s="131">
        <v>100000</v>
      </c>
      <c r="D361" s="105"/>
      <c r="E361" s="105"/>
      <c r="F361" s="105">
        <f t="shared" si="14"/>
        <v>0</v>
      </c>
      <c r="G361" s="132"/>
      <c r="H361" s="4"/>
    </row>
    <row r="362" spans="1:8" x14ac:dyDescent="0.25">
      <c r="A362" s="129"/>
      <c r="B362" s="129" t="s">
        <v>136</v>
      </c>
      <c r="C362" s="131">
        <v>100000</v>
      </c>
      <c r="D362" s="105"/>
      <c r="E362" s="105"/>
      <c r="F362" s="105">
        <f t="shared" si="14"/>
        <v>0</v>
      </c>
      <c r="G362" s="132"/>
      <c r="H362" s="4"/>
    </row>
    <row r="363" spans="1:8" x14ac:dyDescent="0.25">
      <c r="A363" s="129"/>
      <c r="B363" s="129" t="s">
        <v>75</v>
      </c>
      <c r="C363" s="131">
        <v>100000</v>
      </c>
      <c r="D363" s="105"/>
      <c r="E363" s="105"/>
      <c r="F363" s="105">
        <f t="shared" si="14"/>
        <v>0</v>
      </c>
      <c r="G363" s="132"/>
      <c r="H363" s="4"/>
    </row>
    <row r="364" spans="1:8" x14ac:dyDescent="0.25">
      <c r="A364" s="129"/>
      <c r="B364" s="129" t="s">
        <v>39</v>
      </c>
      <c r="C364" s="131">
        <v>100000</v>
      </c>
      <c r="D364" s="105"/>
      <c r="E364" s="105"/>
      <c r="F364" s="105">
        <f t="shared" si="14"/>
        <v>0</v>
      </c>
      <c r="G364" s="132"/>
      <c r="H364" s="4"/>
    </row>
    <row r="365" spans="1:8" x14ac:dyDescent="0.25">
      <c r="A365" s="129"/>
      <c r="B365" s="129" t="s">
        <v>40</v>
      </c>
      <c r="C365" s="131">
        <v>100000</v>
      </c>
      <c r="D365" s="105"/>
      <c r="E365" s="105"/>
      <c r="F365" s="105">
        <f t="shared" si="14"/>
        <v>0</v>
      </c>
      <c r="G365" s="132"/>
      <c r="H365" s="4"/>
    </row>
    <row r="366" spans="1:8" x14ac:dyDescent="0.25">
      <c r="A366" s="129"/>
      <c r="B366" s="129" t="s">
        <v>42</v>
      </c>
      <c r="C366" s="131">
        <v>100000</v>
      </c>
      <c r="D366" s="105"/>
      <c r="E366" s="105"/>
      <c r="F366" s="105">
        <f t="shared" si="14"/>
        <v>0</v>
      </c>
      <c r="G366" s="132"/>
      <c r="H366" s="4"/>
    </row>
    <row r="367" spans="1:8" x14ac:dyDescent="0.25">
      <c r="A367" s="129"/>
      <c r="B367" s="129" t="s">
        <v>41</v>
      </c>
      <c r="C367" s="131">
        <v>100000</v>
      </c>
      <c r="D367" s="105"/>
      <c r="E367" s="105"/>
      <c r="F367" s="105">
        <f t="shared" si="14"/>
        <v>0</v>
      </c>
      <c r="G367" s="132"/>
      <c r="H367" s="4"/>
    </row>
    <row r="368" spans="1:8" ht="16.5" thickBot="1" x14ac:dyDescent="0.3">
      <c r="A368" s="129"/>
      <c r="B368" s="129" t="s">
        <v>43</v>
      </c>
      <c r="C368" s="133">
        <v>100000</v>
      </c>
      <c r="D368" s="105"/>
      <c r="E368" s="105"/>
      <c r="F368" s="105">
        <f t="shared" si="14"/>
        <v>0</v>
      </c>
      <c r="G368" s="132"/>
      <c r="H368" s="4"/>
    </row>
    <row r="369" spans="1:8" ht="16.5" thickBot="1" x14ac:dyDescent="0.3">
      <c r="A369" s="210" t="s">
        <v>183</v>
      </c>
      <c r="B369" s="211"/>
      <c r="C369" s="109">
        <f>SUM(C339:C368)</f>
        <v>3000000</v>
      </c>
      <c r="D369" s="210" t="s">
        <v>184</v>
      </c>
      <c r="E369" s="211"/>
      <c r="F369" s="134">
        <f>SUM(F339:F368)</f>
        <v>0</v>
      </c>
      <c r="G369" s="140"/>
      <c r="H369" s="4"/>
    </row>
    <row r="370" spans="1:8" ht="16.5" thickBot="1" x14ac:dyDescent="0.3">
      <c r="D370" s="210" t="s">
        <v>181</v>
      </c>
      <c r="E370" s="211"/>
      <c r="F370" s="115">
        <f>C369-F369</f>
        <v>3000000</v>
      </c>
      <c r="G370" s="140"/>
      <c r="H370" s="4"/>
    </row>
    <row r="371" spans="1:8" ht="16.5" thickBot="1" x14ac:dyDescent="0.3">
      <c r="D371" s="100"/>
      <c r="E371" s="100"/>
      <c r="F371" s="100"/>
      <c r="G371" s="101"/>
      <c r="H371" s="4"/>
    </row>
    <row r="372" spans="1:8" ht="16.5" thickBot="1" x14ac:dyDescent="0.3">
      <c r="A372" s="117" t="s">
        <v>70</v>
      </c>
      <c r="B372" s="118" t="s">
        <v>71</v>
      </c>
      <c r="C372" s="118" t="s">
        <v>72</v>
      </c>
      <c r="D372" s="119" t="s">
        <v>0</v>
      </c>
      <c r="E372" s="100"/>
      <c r="F372" s="100"/>
      <c r="G372" s="101"/>
      <c r="H372" s="4"/>
    </row>
    <row r="373" spans="1:8" ht="16.5" thickBot="1" x14ac:dyDescent="0.3">
      <c r="A373" s="120" t="s">
        <v>147</v>
      </c>
      <c r="B373" s="121">
        <v>20</v>
      </c>
      <c r="C373" s="122" t="s">
        <v>148</v>
      </c>
      <c r="D373" s="123"/>
      <c r="E373" s="100"/>
      <c r="F373" s="100"/>
      <c r="G373" s="101"/>
      <c r="H373" s="4"/>
    </row>
    <row r="374" spans="1:8" ht="16.5" thickBot="1" x14ac:dyDescent="0.3">
      <c r="A374" s="117" t="s">
        <v>1</v>
      </c>
      <c r="B374" s="118" t="s">
        <v>30</v>
      </c>
      <c r="C374" s="118" t="s">
        <v>2</v>
      </c>
      <c r="D374" s="118" t="s">
        <v>3</v>
      </c>
      <c r="E374" s="118" t="s">
        <v>4</v>
      </c>
      <c r="F374" s="103" t="s">
        <v>35</v>
      </c>
      <c r="G374" s="128" t="s">
        <v>6</v>
      </c>
      <c r="H374" s="4"/>
    </row>
    <row r="375" spans="1:8" x14ac:dyDescent="0.25">
      <c r="A375" s="129"/>
      <c r="B375" s="129" t="s">
        <v>7</v>
      </c>
      <c r="C375" s="131">
        <v>100000</v>
      </c>
      <c r="D375" s="105"/>
      <c r="E375" s="105"/>
      <c r="F375" s="105">
        <f>SUM(D375:E375)</f>
        <v>0</v>
      </c>
      <c r="G375" s="132"/>
      <c r="H375" s="4"/>
    </row>
    <row r="376" spans="1:8" x14ac:dyDescent="0.25">
      <c r="A376" s="129"/>
      <c r="B376" s="129" t="s">
        <v>8</v>
      </c>
      <c r="C376" s="131">
        <v>100000</v>
      </c>
      <c r="D376" s="105"/>
      <c r="E376" s="105"/>
      <c r="F376" s="105">
        <f t="shared" ref="F376:F394" si="15">SUM(D376:E376)</f>
        <v>0</v>
      </c>
      <c r="G376" s="132"/>
      <c r="H376" s="4"/>
    </row>
    <row r="377" spans="1:8" x14ac:dyDescent="0.25">
      <c r="A377" s="129"/>
      <c r="B377" s="129" t="s">
        <v>9</v>
      </c>
      <c r="C377" s="131">
        <v>100000</v>
      </c>
      <c r="D377" s="105"/>
      <c r="E377" s="105"/>
      <c r="F377" s="105">
        <f t="shared" si="15"/>
        <v>0</v>
      </c>
      <c r="G377" s="132"/>
      <c r="H377" s="4"/>
    </row>
    <row r="378" spans="1:8" x14ac:dyDescent="0.25">
      <c r="A378" s="129"/>
      <c r="B378" s="129" t="s">
        <v>10</v>
      </c>
      <c r="C378" s="131">
        <v>100000</v>
      </c>
      <c r="D378" s="105"/>
      <c r="E378" s="105"/>
      <c r="F378" s="105">
        <f t="shared" si="15"/>
        <v>0</v>
      </c>
      <c r="G378" s="132"/>
      <c r="H378" s="4"/>
    </row>
    <row r="379" spans="1:8" x14ac:dyDescent="0.25">
      <c r="A379" s="129"/>
      <c r="B379" s="129" t="s">
        <v>11</v>
      </c>
      <c r="C379" s="131">
        <v>100000</v>
      </c>
      <c r="D379" s="105"/>
      <c r="E379" s="105"/>
      <c r="F379" s="105">
        <f t="shared" si="15"/>
        <v>0</v>
      </c>
      <c r="G379" s="132"/>
      <c r="H379" s="4"/>
    </row>
    <row r="380" spans="1:8" x14ac:dyDescent="0.25">
      <c r="A380" s="129"/>
      <c r="B380" s="129" t="s">
        <v>12</v>
      </c>
      <c r="C380" s="131">
        <v>100000</v>
      </c>
      <c r="D380" s="105"/>
      <c r="E380" s="105"/>
      <c r="F380" s="105">
        <f t="shared" si="15"/>
        <v>0</v>
      </c>
      <c r="G380" s="132"/>
      <c r="H380" s="4"/>
    </row>
    <row r="381" spans="1:8" x14ac:dyDescent="0.25">
      <c r="A381" s="129"/>
      <c r="B381" s="129" t="s">
        <v>13</v>
      </c>
      <c r="C381" s="131">
        <v>100000</v>
      </c>
      <c r="D381" s="105"/>
      <c r="E381" s="105"/>
      <c r="F381" s="105">
        <f t="shared" si="15"/>
        <v>0</v>
      </c>
      <c r="G381" s="132"/>
      <c r="H381" s="4"/>
    </row>
    <row r="382" spans="1:8" x14ac:dyDescent="0.25">
      <c r="A382" s="129"/>
      <c r="B382" s="129" t="s">
        <v>14</v>
      </c>
      <c r="C382" s="131">
        <v>100000</v>
      </c>
      <c r="D382" s="105"/>
      <c r="E382" s="105"/>
      <c r="F382" s="105">
        <f t="shared" si="15"/>
        <v>0</v>
      </c>
      <c r="G382" s="132"/>
      <c r="H382" s="4"/>
    </row>
    <row r="383" spans="1:8" x14ac:dyDescent="0.25">
      <c r="A383" s="129"/>
      <c r="B383" s="129" t="s">
        <v>15</v>
      </c>
      <c r="C383" s="131">
        <v>100000</v>
      </c>
      <c r="D383" s="105"/>
      <c r="E383" s="105"/>
      <c r="F383" s="105">
        <f t="shared" si="15"/>
        <v>0</v>
      </c>
      <c r="G383" s="132"/>
      <c r="H383" s="4"/>
    </row>
    <row r="384" spans="1:8" x14ac:dyDescent="0.25">
      <c r="A384" s="129"/>
      <c r="B384" s="129" t="s">
        <v>16</v>
      </c>
      <c r="C384" s="131">
        <v>100000</v>
      </c>
      <c r="D384" s="105"/>
      <c r="E384" s="105"/>
      <c r="F384" s="105">
        <f t="shared" si="15"/>
        <v>0</v>
      </c>
      <c r="G384" s="132"/>
      <c r="H384" s="4"/>
    </row>
    <row r="385" spans="1:8" x14ac:dyDescent="0.25">
      <c r="A385" s="129"/>
      <c r="B385" s="129" t="s">
        <v>17</v>
      </c>
      <c r="C385" s="131">
        <v>100000</v>
      </c>
      <c r="D385" s="105"/>
      <c r="E385" s="105"/>
      <c r="F385" s="105">
        <f t="shared" si="15"/>
        <v>0</v>
      </c>
      <c r="G385" s="132"/>
      <c r="H385" s="4"/>
    </row>
    <row r="386" spans="1:8" x14ac:dyDescent="0.25">
      <c r="A386" s="129"/>
      <c r="B386" s="129" t="s">
        <v>18</v>
      </c>
      <c r="C386" s="131">
        <v>100000</v>
      </c>
      <c r="D386" s="105"/>
      <c r="E386" s="105"/>
      <c r="F386" s="105">
        <f t="shared" si="15"/>
        <v>0</v>
      </c>
      <c r="G386" s="132"/>
      <c r="H386" s="4"/>
    </row>
    <row r="387" spans="1:8" x14ac:dyDescent="0.25">
      <c r="A387" s="129"/>
      <c r="B387" s="129" t="s">
        <v>19</v>
      </c>
      <c r="C387" s="131">
        <v>100000</v>
      </c>
      <c r="D387" s="105"/>
      <c r="E387" s="105"/>
      <c r="F387" s="105">
        <f t="shared" si="15"/>
        <v>0</v>
      </c>
      <c r="G387" s="132"/>
      <c r="H387" s="4"/>
    </row>
    <row r="388" spans="1:8" x14ac:dyDescent="0.25">
      <c r="A388" s="129"/>
      <c r="B388" s="129" t="s">
        <v>20</v>
      </c>
      <c r="C388" s="131">
        <v>100000</v>
      </c>
      <c r="D388" s="105"/>
      <c r="E388" s="105"/>
      <c r="F388" s="105">
        <f t="shared" si="15"/>
        <v>0</v>
      </c>
      <c r="G388" s="132"/>
      <c r="H388" s="4"/>
    </row>
    <row r="389" spans="1:8" x14ac:dyDescent="0.25">
      <c r="A389" s="129"/>
      <c r="B389" s="129" t="s">
        <v>21</v>
      </c>
      <c r="C389" s="131">
        <v>100000</v>
      </c>
      <c r="D389" s="105"/>
      <c r="E389" s="105"/>
      <c r="F389" s="105">
        <f t="shared" si="15"/>
        <v>0</v>
      </c>
      <c r="G389" s="132"/>
      <c r="H389" s="4"/>
    </row>
    <row r="390" spans="1:8" x14ac:dyDescent="0.25">
      <c r="A390" s="129"/>
      <c r="B390" s="129" t="s">
        <v>22</v>
      </c>
      <c r="C390" s="131">
        <v>100000</v>
      </c>
      <c r="D390" s="105"/>
      <c r="E390" s="105"/>
      <c r="F390" s="105">
        <f t="shared" si="15"/>
        <v>0</v>
      </c>
      <c r="G390" s="132"/>
      <c r="H390" s="4"/>
    </row>
    <row r="391" spans="1:8" x14ac:dyDescent="0.25">
      <c r="A391" s="129"/>
      <c r="B391" s="129" t="s">
        <v>23</v>
      </c>
      <c r="C391" s="131">
        <v>100000</v>
      </c>
      <c r="D391" s="105"/>
      <c r="E391" s="105"/>
      <c r="F391" s="105">
        <f t="shared" si="15"/>
        <v>0</v>
      </c>
      <c r="G391" s="132"/>
      <c r="H391" s="4"/>
    </row>
    <row r="392" spans="1:8" x14ac:dyDescent="0.25">
      <c r="A392" s="129"/>
      <c r="B392" s="129" t="s">
        <v>24</v>
      </c>
      <c r="C392" s="131">
        <v>100000</v>
      </c>
      <c r="D392" s="105"/>
      <c r="E392" s="105"/>
      <c r="F392" s="105">
        <f t="shared" si="15"/>
        <v>0</v>
      </c>
      <c r="G392" s="132"/>
      <c r="H392" s="4"/>
    </row>
    <row r="393" spans="1:8" x14ac:dyDescent="0.25">
      <c r="A393" s="129"/>
      <c r="B393" s="129" t="s">
        <v>25</v>
      </c>
      <c r="C393" s="131">
        <v>100000</v>
      </c>
      <c r="D393" s="105"/>
      <c r="E393" s="105"/>
      <c r="F393" s="105">
        <f t="shared" si="15"/>
        <v>0</v>
      </c>
      <c r="G393" s="132"/>
      <c r="H393" s="4"/>
    </row>
    <row r="394" spans="1:8" ht="16.5" thickBot="1" x14ac:dyDescent="0.3">
      <c r="A394" s="129"/>
      <c r="B394" s="129" t="s">
        <v>26</v>
      </c>
      <c r="C394" s="133">
        <v>100000</v>
      </c>
      <c r="D394" s="105"/>
      <c r="E394" s="105"/>
      <c r="F394" s="105">
        <f t="shared" si="15"/>
        <v>0</v>
      </c>
      <c r="G394" s="132"/>
      <c r="H394" s="4"/>
    </row>
    <row r="395" spans="1:8" ht="16.5" thickBot="1" x14ac:dyDescent="0.3">
      <c r="A395" s="210" t="s">
        <v>183</v>
      </c>
      <c r="B395" s="211"/>
      <c r="C395" s="109">
        <f>SUM(C375:C394)</f>
        <v>2000000</v>
      </c>
      <c r="D395" s="210" t="s">
        <v>184</v>
      </c>
      <c r="E395" s="211"/>
      <c r="F395" s="134">
        <f>SUM(F375:F394)</f>
        <v>0</v>
      </c>
      <c r="G395" s="101"/>
      <c r="H395" s="4"/>
    </row>
    <row r="396" spans="1:8" ht="16.5" thickBot="1" x14ac:dyDescent="0.3">
      <c r="D396" s="210" t="s">
        <v>181</v>
      </c>
      <c r="E396" s="211"/>
      <c r="F396" s="115">
        <f>C395-F395</f>
        <v>2000000</v>
      </c>
      <c r="G396" s="101"/>
      <c r="H396" s="4"/>
    </row>
    <row r="397" spans="1:8" x14ac:dyDescent="0.25">
      <c r="D397" s="100"/>
      <c r="E397" s="100"/>
      <c r="F397" s="100"/>
      <c r="G397" s="101"/>
      <c r="H397" s="4"/>
    </row>
    <row r="398" spans="1:8" ht="21" x14ac:dyDescent="0.35">
      <c r="A398" s="96"/>
      <c r="B398" s="96"/>
      <c r="C398" s="97" t="s">
        <v>190</v>
      </c>
      <c r="D398" s="96"/>
      <c r="E398" s="96"/>
      <c r="F398" s="96"/>
      <c r="G398" s="97"/>
      <c r="H398" s="4"/>
    </row>
    <row r="399" spans="1:8" x14ac:dyDescent="0.25">
      <c r="D399" s="100"/>
      <c r="E399" s="100"/>
      <c r="F399" s="100"/>
      <c r="G399" s="101"/>
      <c r="H399" s="4"/>
    </row>
    <row r="400" spans="1:8" ht="16.5" thickBot="1" x14ac:dyDescent="0.3">
      <c r="D400" s="100"/>
      <c r="E400" s="100"/>
      <c r="F400" s="100"/>
      <c r="G400" s="101"/>
      <c r="H400" s="4"/>
    </row>
    <row r="401" spans="1:8" ht="16.5" thickBot="1" x14ac:dyDescent="0.3">
      <c r="A401" s="117" t="s">
        <v>70</v>
      </c>
      <c r="B401" s="118" t="s">
        <v>71</v>
      </c>
      <c r="C401" s="118" t="s">
        <v>72</v>
      </c>
      <c r="D401" s="119" t="s">
        <v>0</v>
      </c>
      <c r="E401" s="100"/>
      <c r="F401" s="100"/>
      <c r="G401" s="101"/>
      <c r="H401" s="4"/>
    </row>
    <row r="402" spans="1:8" ht="16.5" thickBot="1" x14ac:dyDescent="0.3">
      <c r="A402" s="120" t="s">
        <v>157</v>
      </c>
      <c r="B402" s="121">
        <v>20</v>
      </c>
      <c r="C402" s="122" t="s">
        <v>158</v>
      </c>
      <c r="D402" s="123"/>
      <c r="E402" s="100"/>
      <c r="F402" s="100"/>
      <c r="G402" s="101"/>
      <c r="H402" s="4"/>
    </row>
    <row r="403" spans="1:8" ht="16.5" thickBot="1" x14ac:dyDescent="0.3">
      <c r="A403" s="117" t="s">
        <v>1</v>
      </c>
      <c r="B403" s="118" t="s">
        <v>30</v>
      </c>
      <c r="C403" s="118" t="s">
        <v>2</v>
      </c>
      <c r="D403" s="118" t="s">
        <v>3</v>
      </c>
      <c r="E403" s="118" t="s">
        <v>4</v>
      </c>
      <c r="F403" s="103" t="s">
        <v>35</v>
      </c>
      <c r="G403" s="128" t="s">
        <v>6</v>
      </c>
      <c r="H403" s="4"/>
    </row>
    <row r="404" spans="1:8" x14ac:dyDescent="0.25">
      <c r="A404" s="129"/>
      <c r="B404" s="129" t="s">
        <v>7</v>
      </c>
      <c r="C404" s="131">
        <v>100000</v>
      </c>
      <c r="D404" s="105"/>
      <c r="E404" s="105"/>
      <c r="F404" s="105">
        <f>SUM(D404:E404)</f>
        <v>0</v>
      </c>
      <c r="G404" s="132"/>
      <c r="H404" s="4"/>
    </row>
    <row r="405" spans="1:8" x14ac:dyDescent="0.25">
      <c r="A405" s="129"/>
      <c r="B405" s="129" t="s">
        <v>8</v>
      </c>
      <c r="C405" s="131">
        <v>100000</v>
      </c>
      <c r="D405" s="105"/>
      <c r="E405" s="105"/>
      <c r="F405" s="105">
        <f t="shared" ref="F405:F423" si="16">SUM(D405:E405)</f>
        <v>0</v>
      </c>
      <c r="G405" s="132"/>
      <c r="H405" s="4"/>
    </row>
    <row r="406" spans="1:8" x14ac:dyDescent="0.25">
      <c r="A406" s="129"/>
      <c r="B406" s="129" t="s">
        <v>9</v>
      </c>
      <c r="C406" s="131">
        <v>100000</v>
      </c>
      <c r="D406" s="105"/>
      <c r="E406" s="105"/>
      <c r="F406" s="105">
        <f t="shared" si="16"/>
        <v>0</v>
      </c>
      <c r="G406" s="132"/>
      <c r="H406" s="4"/>
    </row>
    <row r="407" spans="1:8" x14ac:dyDescent="0.25">
      <c r="A407" s="129"/>
      <c r="B407" s="129" t="s">
        <v>10</v>
      </c>
      <c r="C407" s="131">
        <v>100000</v>
      </c>
      <c r="D407" s="105"/>
      <c r="E407" s="105"/>
      <c r="F407" s="105">
        <f t="shared" si="16"/>
        <v>0</v>
      </c>
      <c r="G407" s="132"/>
      <c r="H407" s="4"/>
    </row>
    <row r="408" spans="1:8" x14ac:dyDescent="0.25">
      <c r="A408" s="129"/>
      <c r="B408" s="129" t="s">
        <v>11</v>
      </c>
      <c r="C408" s="131">
        <v>100000</v>
      </c>
      <c r="D408" s="105"/>
      <c r="E408" s="105"/>
      <c r="F408" s="105">
        <f t="shared" si="16"/>
        <v>0</v>
      </c>
      <c r="G408" s="132"/>
      <c r="H408" s="4"/>
    </row>
    <row r="409" spans="1:8" x14ac:dyDescent="0.25">
      <c r="A409" s="129"/>
      <c r="B409" s="129" t="s">
        <v>12</v>
      </c>
      <c r="C409" s="131">
        <v>100000</v>
      </c>
      <c r="D409" s="105"/>
      <c r="E409" s="105"/>
      <c r="F409" s="105">
        <f t="shared" si="16"/>
        <v>0</v>
      </c>
      <c r="G409" s="132"/>
      <c r="H409" s="4"/>
    </row>
    <row r="410" spans="1:8" x14ac:dyDescent="0.25">
      <c r="A410" s="129"/>
      <c r="B410" s="129" t="s">
        <v>13</v>
      </c>
      <c r="C410" s="131">
        <v>100000</v>
      </c>
      <c r="D410" s="105"/>
      <c r="E410" s="105"/>
      <c r="F410" s="105">
        <f t="shared" si="16"/>
        <v>0</v>
      </c>
      <c r="G410" s="132"/>
      <c r="H410" s="4"/>
    </row>
    <row r="411" spans="1:8" x14ac:dyDescent="0.25">
      <c r="A411" s="129"/>
      <c r="B411" s="129" t="s">
        <v>14</v>
      </c>
      <c r="C411" s="131">
        <v>100000</v>
      </c>
      <c r="D411" s="105"/>
      <c r="E411" s="105"/>
      <c r="F411" s="105">
        <f t="shared" si="16"/>
        <v>0</v>
      </c>
      <c r="G411" s="132"/>
      <c r="H411" s="4"/>
    </row>
    <row r="412" spans="1:8" x14ac:dyDescent="0.25">
      <c r="A412" s="129"/>
      <c r="B412" s="129" t="s">
        <v>15</v>
      </c>
      <c r="C412" s="131">
        <v>100000</v>
      </c>
      <c r="D412" s="105"/>
      <c r="E412" s="105"/>
      <c r="F412" s="105">
        <f t="shared" si="16"/>
        <v>0</v>
      </c>
      <c r="G412" s="132"/>
      <c r="H412" s="4"/>
    </row>
    <row r="413" spans="1:8" x14ac:dyDescent="0.25">
      <c r="A413" s="129"/>
      <c r="B413" s="129" t="s">
        <v>16</v>
      </c>
      <c r="C413" s="131">
        <v>100000</v>
      </c>
      <c r="D413" s="105"/>
      <c r="E413" s="105"/>
      <c r="F413" s="105">
        <f t="shared" si="16"/>
        <v>0</v>
      </c>
      <c r="G413" s="132"/>
      <c r="H413" s="4"/>
    </row>
    <row r="414" spans="1:8" x14ac:dyDescent="0.25">
      <c r="A414" s="129"/>
      <c r="B414" s="129" t="s">
        <v>17</v>
      </c>
      <c r="C414" s="131">
        <v>100000</v>
      </c>
      <c r="D414" s="105"/>
      <c r="E414" s="105"/>
      <c r="F414" s="105">
        <f t="shared" si="16"/>
        <v>0</v>
      </c>
      <c r="G414" s="132"/>
      <c r="H414" s="4"/>
    </row>
    <row r="415" spans="1:8" x14ac:dyDescent="0.25">
      <c r="A415" s="129"/>
      <c r="B415" s="129" t="s">
        <v>18</v>
      </c>
      <c r="C415" s="131">
        <v>100000</v>
      </c>
      <c r="D415" s="105"/>
      <c r="E415" s="105"/>
      <c r="F415" s="105">
        <f t="shared" si="16"/>
        <v>0</v>
      </c>
      <c r="G415" s="132"/>
      <c r="H415" s="4"/>
    </row>
    <row r="416" spans="1:8" x14ac:dyDescent="0.25">
      <c r="A416" s="129"/>
      <c r="B416" s="129" t="s">
        <v>19</v>
      </c>
      <c r="C416" s="131">
        <v>100000</v>
      </c>
      <c r="D416" s="105"/>
      <c r="E416" s="105"/>
      <c r="F416" s="105">
        <f t="shared" si="16"/>
        <v>0</v>
      </c>
      <c r="G416" s="132"/>
      <c r="H416" s="4"/>
    </row>
    <row r="417" spans="1:8" x14ac:dyDescent="0.25">
      <c r="A417" s="129"/>
      <c r="B417" s="129" t="s">
        <v>20</v>
      </c>
      <c r="C417" s="131">
        <v>100000</v>
      </c>
      <c r="D417" s="105"/>
      <c r="E417" s="105"/>
      <c r="F417" s="105">
        <f t="shared" si="16"/>
        <v>0</v>
      </c>
      <c r="G417" s="132"/>
      <c r="H417" s="4"/>
    </row>
    <row r="418" spans="1:8" x14ac:dyDescent="0.25">
      <c r="A418" s="129"/>
      <c r="B418" s="129" t="s">
        <v>21</v>
      </c>
      <c r="C418" s="131">
        <v>100000</v>
      </c>
      <c r="D418" s="105"/>
      <c r="E418" s="105"/>
      <c r="F418" s="105">
        <f t="shared" si="16"/>
        <v>0</v>
      </c>
      <c r="G418" s="132"/>
      <c r="H418" s="4"/>
    </row>
    <row r="419" spans="1:8" x14ac:dyDescent="0.25">
      <c r="A419" s="129"/>
      <c r="B419" s="129" t="s">
        <v>22</v>
      </c>
      <c r="C419" s="131">
        <v>100000</v>
      </c>
      <c r="D419" s="105"/>
      <c r="E419" s="105"/>
      <c r="F419" s="105">
        <f t="shared" si="16"/>
        <v>0</v>
      </c>
      <c r="G419" s="132"/>
      <c r="H419" s="4"/>
    </row>
    <row r="420" spans="1:8" x14ac:dyDescent="0.25">
      <c r="A420" s="129"/>
      <c r="B420" s="129" t="s">
        <v>23</v>
      </c>
      <c r="C420" s="131">
        <v>100000</v>
      </c>
      <c r="D420" s="105"/>
      <c r="E420" s="105"/>
      <c r="F420" s="105">
        <f t="shared" si="16"/>
        <v>0</v>
      </c>
      <c r="G420" s="132"/>
      <c r="H420" s="4"/>
    </row>
    <row r="421" spans="1:8" x14ac:dyDescent="0.25">
      <c r="A421" s="129"/>
      <c r="B421" s="129" t="s">
        <v>24</v>
      </c>
      <c r="C421" s="131">
        <v>100000</v>
      </c>
      <c r="D421" s="105"/>
      <c r="E421" s="105"/>
      <c r="F421" s="105">
        <f t="shared" si="16"/>
        <v>0</v>
      </c>
      <c r="G421" s="132"/>
      <c r="H421" s="4"/>
    </row>
    <row r="422" spans="1:8" x14ac:dyDescent="0.25">
      <c r="A422" s="129" t="s">
        <v>216</v>
      </c>
      <c r="B422" s="129" t="s">
        <v>25</v>
      </c>
      <c r="C422" s="131">
        <v>100000</v>
      </c>
      <c r="D422" s="105"/>
      <c r="E422" s="105"/>
      <c r="F422" s="105">
        <f t="shared" si="16"/>
        <v>0</v>
      </c>
      <c r="G422" s="132"/>
      <c r="H422" s="4"/>
    </row>
    <row r="423" spans="1:8" ht="16.5" thickBot="1" x14ac:dyDescent="0.3">
      <c r="A423" s="129" t="s">
        <v>216</v>
      </c>
      <c r="B423" s="129" t="s">
        <v>26</v>
      </c>
      <c r="C423" s="131">
        <v>100000</v>
      </c>
      <c r="D423" s="105"/>
      <c r="E423" s="105"/>
      <c r="F423" s="105">
        <f t="shared" si="16"/>
        <v>0</v>
      </c>
      <c r="G423" s="132"/>
      <c r="H423" s="4"/>
    </row>
    <row r="424" spans="1:8" ht="16.5" thickBot="1" x14ac:dyDescent="0.3">
      <c r="A424" s="210" t="s">
        <v>183</v>
      </c>
      <c r="B424" s="211"/>
      <c r="C424" s="109">
        <f>SUM(C404:C423)</f>
        <v>2000000</v>
      </c>
      <c r="D424" s="210" t="s">
        <v>184</v>
      </c>
      <c r="E424" s="211"/>
      <c r="F424" s="141">
        <f>SUM(F404:F423)</f>
        <v>0</v>
      </c>
      <c r="G424" s="101"/>
      <c r="H424" s="4"/>
    </row>
    <row r="425" spans="1:8" ht="16.5" thickBot="1" x14ac:dyDescent="0.3">
      <c r="D425" s="210" t="s">
        <v>181</v>
      </c>
      <c r="E425" s="211"/>
      <c r="F425" s="11">
        <f>C424-F424</f>
        <v>2000000</v>
      </c>
      <c r="G425" s="101"/>
      <c r="H425" s="4"/>
    </row>
    <row r="426" spans="1:8" x14ac:dyDescent="0.25">
      <c r="D426"/>
      <c r="E426"/>
      <c r="F426" s="142"/>
      <c r="G426" s="101"/>
    </row>
    <row r="427" spans="1:8" x14ac:dyDescent="0.25">
      <c r="D427" s="100"/>
      <c r="E427" s="100"/>
      <c r="F427"/>
      <c r="G427"/>
      <c r="H427" s="4"/>
    </row>
    <row r="428" spans="1:8" ht="16.5" thickBot="1" x14ac:dyDescent="0.3">
      <c r="D428" s="100"/>
      <c r="E428" s="100"/>
      <c r="F428"/>
      <c r="G428"/>
      <c r="H428" s="4"/>
    </row>
    <row r="429" spans="1:8" ht="16.5" thickBot="1" x14ac:dyDescent="0.3">
      <c r="A429" s="117" t="s">
        <v>70</v>
      </c>
      <c r="B429" s="118" t="s">
        <v>71</v>
      </c>
      <c r="C429" s="118" t="s">
        <v>72</v>
      </c>
      <c r="D429" s="119" t="s">
        <v>0</v>
      </c>
      <c r="E429" s="100"/>
      <c r="F429" s="100"/>
      <c r="G429" s="101"/>
      <c r="H429" s="4"/>
    </row>
    <row r="430" spans="1:8" ht="16.5" thickBot="1" x14ac:dyDescent="0.3">
      <c r="A430" s="120" t="s">
        <v>159</v>
      </c>
      <c r="B430" s="121">
        <v>20</v>
      </c>
      <c r="C430" s="122" t="s">
        <v>160</v>
      </c>
      <c r="D430" s="123"/>
      <c r="E430" s="100"/>
      <c r="F430" s="100"/>
      <c r="G430" s="101"/>
      <c r="H430" s="4"/>
    </row>
    <row r="431" spans="1:8" ht="16.5" thickBot="1" x14ac:dyDescent="0.3">
      <c r="A431" s="117" t="s">
        <v>1</v>
      </c>
      <c r="B431" s="118" t="s">
        <v>30</v>
      </c>
      <c r="C431" s="118" t="s">
        <v>2</v>
      </c>
      <c r="D431" s="118" t="s">
        <v>3</v>
      </c>
      <c r="E431" s="118" t="s">
        <v>4</v>
      </c>
      <c r="F431" s="103" t="s">
        <v>35</v>
      </c>
      <c r="G431" s="128" t="s">
        <v>6</v>
      </c>
      <c r="H431" s="4"/>
    </row>
    <row r="432" spans="1:8" x14ac:dyDescent="0.25">
      <c r="A432" s="129" t="s">
        <v>214</v>
      </c>
      <c r="B432" s="129" t="s">
        <v>7</v>
      </c>
      <c r="C432" s="131">
        <v>100000</v>
      </c>
      <c r="D432" s="105"/>
      <c r="E432" s="105"/>
      <c r="F432" s="105">
        <f>SUM(D432:E432)</f>
        <v>0</v>
      </c>
      <c r="G432" s="132"/>
      <c r="H432" s="4"/>
    </row>
    <row r="433" spans="1:8" x14ac:dyDescent="0.25">
      <c r="A433" s="129" t="s">
        <v>214</v>
      </c>
      <c r="B433" s="129" t="s">
        <v>8</v>
      </c>
      <c r="C433" s="131">
        <v>100000</v>
      </c>
      <c r="D433" s="105"/>
      <c r="E433" s="105"/>
      <c r="F433" s="105">
        <f t="shared" ref="F433:F451" si="17">SUM(D433:E433)</f>
        <v>0</v>
      </c>
      <c r="G433" s="132"/>
      <c r="H433" s="4"/>
    </row>
    <row r="434" spans="1:8" x14ac:dyDescent="0.25">
      <c r="A434" s="129"/>
      <c r="B434" s="129" t="s">
        <v>9</v>
      </c>
      <c r="C434" s="131">
        <v>100000</v>
      </c>
      <c r="D434" s="105"/>
      <c r="E434" s="105"/>
      <c r="F434" s="105">
        <f t="shared" si="17"/>
        <v>0</v>
      </c>
      <c r="G434" s="132"/>
      <c r="H434" s="4"/>
    </row>
    <row r="435" spans="1:8" x14ac:dyDescent="0.25">
      <c r="A435" s="129"/>
      <c r="B435" s="129" t="s">
        <v>10</v>
      </c>
      <c r="C435" s="131">
        <v>100000</v>
      </c>
      <c r="D435" s="105"/>
      <c r="E435" s="105"/>
      <c r="F435" s="105">
        <f t="shared" si="17"/>
        <v>0</v>
      </c>
      <c r="G435" s="132"/>
      <c r="H435" s="4"/>
    </row>
    <row r="436" spans="1:8" x14ac:dyDescent="0.25">
      <c r="A436" s="129"/>
      <c r="B436" s="129" t="s">
        <v>11</v>
      </c>
      <c r="C436" s="131">
        <v>100000</v>
      </c>
      <c r="D436" s="105"/>
      <c r="E436" s="105"/>
      <c r="F436" s="105">
        <f t="shared" si="17"/>
        <v>0</v>
      </c>
      <c r="G436" s="132"/>
      <c r="H436" s="4"/>
    </row>
    <row r="437" spans="1:8" x14ac:dyDescent="0.25">
      <c r="A437" s="129"/>
      <c r="B437" s="129" t="s">
        <v>12</v>
      </c>
      <c r="C437" s="131">
        <v>100000</v>
      </c>
      <c r="D437" s="105"/>
      <c r="E437" s="105"/>
      <c r="F437" s="105">
        <f t="shared" si="17"/>
        <v>0</v>
      </c>
      <c r="G437" s="132"/>
      <c r="H437" s="4"/>
    </row>
    <row r="438" spans="1:8" x14ac:dyDescent="0.25">
      <c r="A438" s="129"/>
      <c r="B438" s="129" t="s">
        <v>13</v>
      </c>
      <c r="C438" s="131">
        <v>100000</v>
      </c>
      <c r="D438" s="105"/>
      <c r="E438" s="105"/>
      <c r="F438" s="105">
        <f t="shared" si="17"/>
        <v>0</v>
      </c>
      <c r="G438" s="132"/>
      <c r="H438" s="4"/>
    </row>
    <row r="439" spans="1:8" x14ac:dyDescent="0.25">
      <c r="A439" s="129"/>
      <c r="B439" s="129" t="s">
        <v>14</v>
      </c>
      <c r="C439" s="131">
        <v>100000</v>
      </c>
      <c r="D439" s="105"/>
      <c r="E439" s="105"/>
      <c r="F439" s="105">
        <f t="shared" si="17"/>
        <v>0</v>
      </c>
      <c r="G439" s="132"/>
      <c r="H439" s="4"/>
    </row>
    <row r="440" spans="1:8" x14ac:dyDescent="0.25">
      <c r="A440" s="129"/>
      <c r="B440" s="129" t="s">
        <v>15</v>
      </c>
      <c r="C440" s="131">
        <v>100000</v>
      </c>
      <c r="D440" s="105"/>
      <c r="E440" s="105"/>
      <c r="F440" s="105">
        <f t="shared" si="17"/>
        <v>0</v>
      </c>
      <c r="G440" s="132"/>
      <c r="H440" s="4"/>
    </row>
    <row r="441" spans="1:8" x14ac:dyDescent="0.25">
      <c r="A441" s="129"/>
      <c r="B441" s="129" t="s">
        <v>16</v>
      </c>
      <c r="C441" s="131">
        <v>100000</v>
      </c>
      <c r="D441" s="105"/>
      <c r="E441" s="105"/>
      <c r="F441" s="105">
        <f t="shared" si="17"/>
        <v>0</v>
      </c>
      <c r="G441" s="132"/>
      <c r="H441" s="4"/>
    </row>
    <row r="442" spans="1:8" x14ac:dyDescent="0.25">
      <c r="A442" s="129"/>
      <c r="B442" s="129" t="s">
        <v>17</v>
      </c>
      <c r="C442" s="131">
        <v>100000</v>
      </c>
      <c r="D442" s="105"/>
      <c r="E442" s="105"/>
      <c r="F442" s="105">
        <f t="shared" si="17"/>
        <v>0</v>
      </c>
      <c r="G442" s="132"/>
      <c r="H442" s="4"/>
    </row>
    <row r="443" spans="1:8" x14ac:dyDescent="0.25">
      <c r="A443" s="129"/>
      <c r="B443" s="129" t="s">
        <v>18</v>
      </c>
      <c r="C443" s="131">
        <v>100000</v>
      </c>
      <c r="D443" s="105"/>
      <c r="E443" s="105"/>
      <c r="F443" s="105">
        <f t="shared" si="17"/>
        <v>0</v>
      </c>
      <c r="G443" s="132"/>
      <c r="H443" s="4"/>
    </row>
    <row r="444" spans="1:8" x14ac:dyDescent="0.25">
      <c r="A444" s="129"/>
      <c r="B444" s="129" t="s">
        <v>19</v>
      </c>
      <c r="C444" s="131">
        <v>100000</v>
      </c>
      <c r="D444" s="105"/>
      <c r="E444" s="105"/>
      <c r="F444" s="105">
        <f t="shared" si="17"/>
        <v>0</v>
      </c>
      <c r="G444" s="132"/>
      <c r="H444" s="4"/>
    </row>
    <row r="445" spans="1:8" x14ac:dyDescent="0.25">
      <c r="A445" s="129"/>
      <c r="B445" s="129" t="s">
        <v>20</v>
      </c>
      <c r="C445" s="131">
        <v>100000</v>
      </c>
      <c r="D445" s="105"/>
      <c r="E445" s="105"/>
      <c r="F445" s="105">
        <f t="shared" si="17"/>
        <v>0</v>
      </c>
      <c r="G445" s="132"/>
      <c r="H445" s="4"/>
    </row>
    <row r="446" spans="1:8" x14ac:dyDescent="0.25">
      <c r="A446" s="129"/>
      <c r="B446" s="129" t="s">
        <v>21</v>
      </c>
      <c r="C446" s="131">
        <v>100000</v>
      </c>
      <c r="D446" s="105"/>
      <c r="E446" s="105"/>
      <c r="F446" s="105">
        <f t="shared" si="17"/>
        <v>0</v>
      </c>
      <c r="G446" s="132"/>
      <c r="H446" s="4"/>
    </row>
    <row r="447" spans="1:8" x14ac:dyDescent="0.25">
      <c r="A447" s="129"/>
      <c r="B447" s="129" t="s">
        <v>22</v>
      </c>
      <c r="C447" s="131">
        <v>100000</v>
      </c>
      <c r="D447" s="105"/>
      <c r="E447" s="105"/>
      <c r="F447" s="105">
        <f t="shared" si="17"/>
        <v>0</v>
      </c>
      <c r="G447" s="132"/>
      <c r="H447" s="4"/>
    </row>
    <row r="448" spans="1:8" x14ac:dyDescent="0.25">
      <c r="A448" s="129"/>
      <c r="B448" s="129" t="s">
        <v>23</v>
      </c>
      <c r="C448" s="131">
        <v>100000</v>
      </c>
      <c r="D448" s="105"/>
      <c r="E448" s="105"/>
      <c r="F448" s="105">
        <f t="shared" si="17"/>
        <v>0</v>
      </c>
      <c r="G448" s="132"/>
      <c r="H448" s="4"/>
    </row>
    <row r="449" spans="1:8" x14ac:dyDescent="0.25">
      <c r="A449" s="129"/>
      <c r="B449" s="129" t="s">
        <v>24</v>
      </c>
      <c r="C449" s="131">
        <v>100000</v>
      </c>
      <c r="D449" s="105"/>
      <c r="E449" s="105"/>
      <c r="F449" s="105">
        <f t="shared" si="17"/>
        <v>0</v>
      </c>
      <c r="G449" s="132"/>
      <c r="H449" s="4"/>
    </row>
    <row r="450" spans="1:8" x14ac:dyDescent="0.25">
      <c r="A450" s="129"/>
      <c r="B450" s="129" t="s">
        <v>25</v>
      </c>
      <c r="C450" s="131">
        <v>100000</v>
      </c>
      <c r="D450" s="105"/>
      <c r="E450" s="105"/>
      <c r="F450" s="105">
        <f t="shared" si="17"/>
        <v>0</v>
      </c>
      <c r="G450" s="132"/>
      <c r="H450" s="4"/>
    </row>
    <row r="451" spans="1:8" ht="16.5" thickBot="1" x14ac:dyDescent="0.3">
      <c r="A451" s="129" t="s">
        <v>215</v>
      </c>
      <c r="B451" s="129" t="s">
        <v>26</v>
      </c>
      <c r="C451" s="133">
        <v>100000</v>
      </c>
      <c r="D451" s="105"/>
      <c r="E451" s="105"/>
      <c r="F451" s="105">
        <f t="shared" si="17"/>
        <v>0</v>
      </c>
      <c r="G451" s="132"/>
      <c r="H451" s="4"/>
    </row>
    <row r="452" spans="1:8" ht="16.5" thickBot="1" x14ac:dyDescent="0.3">
      <c r="A452" s="210" t="s">
        <v>183</v>
      </c>
      <c r="B452" s="211"/>
      <c r="C452" s="109">
        <f>SUM(C432:C451)</f>
        <v>2000000</v>
      </c>
      <c r="D452" s="210" t="s">
        <v>184</v>
      </c>
      <c r="E452" s="211"/>
      <c r="F452" s="134">
        <f>SUM(F432:F451)</f>
        <v>0</v>
      </c>
      <c r="G452" s="101"/>
      <c r="H452" s="4"/>
    </row>
    <row r="453" spans="1:8" ht="16.5" thickBot="1" x14ac:dyDescent="0.3">
      <c r="D453" s="210" t="s">
        <v>181</v>
      </c>
      <c r="E453" s="211"/>
      <c r="F453" s="115">
        <f>C452-F452</f>
        <v>2000000</v>
      </c>
      <c r="G453" s="101"/>
      <c r="H453" s="4"/>
    </row>
    <row r="454" spans="1:8" x14ac:dyDescent="0.25">
      <c r="D454" s="100"/>
      <c r="E454" s="100"/>
      <c r="F454" s="100"/>
      <c r="G454" s="101"/>
      <c r="H454" s="4"/>
    </row>
    <row r="455" spans="1:8" ht="21" x14ac:dyDescent="0.35">
      <c r="A455" s="96"/>
      <c r="B455" s="96"/>
      <c r="C455" s="97" t="s">
        <v>194</v>
      </c>
      <c r="D455" s="96"/>
      <c r="E455" s="96"/>
      <c r="F455" s="96"/>
      <c r="G455" s="97"/>
      <c r="H455" s="4"/>
    </row>
    <row r="456" spans="1:8" x14ac:dyDescent="0.25">
      <c r="D456" s="100"/>
      <c r="E456" s="100"/>
      <c r="F456" s="100"/>
      <c r="G456" s="101"/>
      <c r="H456" s="4"/>
    </row>
    <row r="457" spans="1:8" ht="16.5" thickBot="1" x14ac:dyDescent="0.3">
      <c r="D457" s="100"/>
      <c r="E457" s="100"/>
      <c r="F457" s="100"/>
      <c r="G457" s="101"/>
      <c r="H457" s="4"/>
    </row>
    <row r="458" spans="1:8" ht="16.5" thickBot="1" x14ac:dyDescent="0.3">
      <c r="A458" s="117" t="s">
        <v>70</v>
      </c>
      <c r="B458" s="118" t="s">
        <v>71</v>
      </c>
      <c r="C458" s="118" t="s">
        <v>72</v>
      </c>
      <c r="D458" s="119" t="s">
        <v>0</v>
      </c>
      <c r="E458" s="100"/>
      <c r="F458" s="100"/>
      <c r="G458" s="101"/>
      <c r="H458" s="4"/>
    </row>
    <row r="459" spans="1:8" ht="16.5" thickBot="1" x14ac:dyDescent="0.3">
      <c r="A459" s="120" t="s">
        <v>161</v>
      </c>
      <c r="B459" s="121">
        <v>20</v>
      </c>
      <c r="C459" s="122" t="s">
        <v>162</v>
      </c>
      <c r="D459" s="123"/>
      <c r="E459" s="100"/>
      <c r="F459" s="100"/>
      <c r="G459" s="101"/>
      <c r="H459" s="4"/>
    </row>
    <row r="460" spans="1:8" ht="16.5" thickBot="1" x14ac:dyDescent="0.3">
      <c r="A460" s="117" t="s">
        <v>1</v>
      </c>
      <c r="B460" s="118" t="s">
        <v>30</v>
      </c>
      <c r="C460" s="118" t="s">
        <v>2</v>
      </c>
      <c r="D460" s="118" t="s">
        <v>3</v>
      </c>
      <c r="E460" s="118" t="s">
        <v>4</v>
      </c>
      <c r="F460" s="103" t="s">
        <v>35</v>
      </c>
      <c r="G460" s="128" t="s">
        <v>6</v>
      </c>
      <c r="H460" s="4"/>
    </row>
    <row r="461" spans="1:8" x14ac:dyDescent="0.25">
      <c r="A461" s="129"/>
      <c r="B461" s="129" t="s">
        <v>7</v>
      </c>
      <c r="C461" s="131">
        <v>100000</v>
      </c>
      <c r="D461" s="105"/>
      <c r="E461" s="105"/>
      <c r="F461" s="105">
        <f>SUM(D461:E461)</f>
        <v>0</v>
      </c>
      <c r="G461" s="132"/>
      <c r="H461" s="4"/>
    </row>
    <row r="462" spans="1:8" x14ac:dyDescent="0.25">
      <c r="A462" s="129"/>
      <c r="B462" s="129" t="s">
        <v>8</v>
      </c>
      <c r="C462" s="131">
        <v>100000</v>
      </c>
      <c r="D462" s="105"/>
      <c r="E462" s="105"/>
      <c r="F462" s="105">
        <f t="shared" ref="F462:F480" si="18">SUM(D462:E462)</f>
        <v>0</v>
      </c>
      <c r="G462" s="132"/>
      <c r="H462" s="4"/>
    </row>
    <row r="463" spans="1:8" x14ac:dyDescent="0.25">
      <c r="A463" s="129"/>
      <c r="B463" s="129" t="s">
        <v>9</v>
      </c>
      <c r="C463" s="131">
        <v>100000</v>
      </c>
      <c r="D463" s="105"/>
      <c r="E463" s="105"/>
      <c r="F463" s="105">
        <f t="shared" si="18"/>
        <v>0</v>
      </c>
      <c r="G463" s="132"/>
      <c r="H463" s="4"/>
    </row>
    <row r="464" spans="1:8" x14ac:dyDescent="0.25">
      <c r="A464" s="129"/>
      <c r="B464" s="129" t="s">
        <v>10</v>
      </c>
      <c r="C464" s="131">
        <v>100000</v>
      </c>
      <c r="D464" s="105"/>
      <c r="E464" s="105"/>
      <c r="F464" s="105">
        <f t="shared" si="18"/>
        <v>0</v>
      </c>
      <c r="G464" s="132"/>
      <c r="H464" s="4"/>
    </row>
    <row r="465" spans="1:8" x14ac:dyDescent="0.25">
      <c r="A465" s="129"/>
      <c r="B465" s="129" t="s">
        <v>11</v>
      </c>
      <c r="C465" s="131">
        <v>100000</v>
      </c>
      <c r="D465" s="105"/>
      <c r="E465" s="105"/>
      <c r="F465" s="105">
        <f t="shared" si="18"/>
        <v>0</v>
      </c>
      <c r="G465" s="132"/>
      <c r="H465" s="4"/>
    </row>
    <row r="466" spans="1:8" x14ac:dyDescent="0.25">
      <c r="A466" s="129"/>
      <c r="B466" s="129" t="s">
        <v>12</v>
      </c>
      <c r="C466" s="131">
        <v>100000</v>
      </c>
      <c r="D466" s="105"/>
      <c r="E466" s="105"/>
      <c r="F466" s="105">
        <f t="shared" si="18"/>
        <v>0</v>
      </c>
      <c r="G466" s="132"/>
      <c r="H466" s="4"/>
    </row>
    <row r="467" spans="1:8" x14ac:dyDescent="0.25">
      <c r="A467" s="129"/>
      <c r="B467" s="129" t="s">
        <v>13</v>
      </c>
      <c r="C467" s="131">
        <v>100000</v>
      </c>
      <c r="D467" s="105"/>
      <c r="E467" s="105"/>
      <c r="F467" s="105">
        <f t="shared" si="18"/>
        <v>0</v>
      </c>
      <c r="G467" s="132"/>
      <c r="H467" s="4"/>
    </row>
    <row r="468" spans="1:8" x14ac:dyDescent="0.25">
      <c r="A468" s="129"/>
      <c r="B468" s="129" t="s">
        <v>14</v>
      </c>
      <c r="C468" s="131">
        <v>100000</v>
      </c>
      <c r="D468" s="105"/>
      <c r="E468" s="105"/>
      <c r="F468" s="105">
        <f t="shared" si="18"/>
        <v>0</v>
      </c>
      <c r="G468" s="132"/>
      <c r="H468" s="4"/>
    </row>
    <row r="469" spans="1:8" x14ac:dyDescent="0.25">
      <c r="A469" s="129"/>
      <c r="B469" s="129" t="s">
        <v>15</v>
      </c>
      <c r="C469" s="131">
        <v>100000</v>
      </c>
      <c r="D469" s="105"/>
      <c r="E469" s="105"/>
      <c r="F469" s="105">
        <f t="shared" si="18"/>
        <v>0</v>
      </c>
      <c r="G469" s="132"/>
      <c r="H469" s="4"/>
    </row>
    <row r="470" spans="1:8" x14ac:dyDescent="0.25">
      <c r="A470" s="129"/>
      <c r="B470" s="129" t="s">
        <v>16</v>
      </c>
      <c r="C470" s="131">
        <v>100000</v>
      </c>
      <c r="D470" s="105"/>
      <c r="E470" s="105"/>
      <c r="F470" s="105">
        <f t="shared" si="18"/>
        <v>0</v>
      </c>
      <c r="G470" s="132"/>
      <c r="H470" s="4"/>
    </row>
    <row r="471" spans="1:8" x14ac:dyDescent="0.25">
      <c r="A471" s="129"/>
      <c r="B471" s="129" t="s">
        <v>17</v>
      </c>
      <c r="C471" s="131">
        <v>100000</v>
      </c>
      <c r="D471" s="105"/>
      <c r="E471" s="105"/>
      <c r="F471" s="105">
        <f t="shared" si="18"/>
        <v>0</v>
      </c>
      <c r="G471" s="132"/>
      <c r="H471" s="4"/>
    </row>
    <row r="472" spans="1:8" x14ac:dyDescent="0.25">
      <c r="A472" s="129"/>
      <c r="B472" s="129" t="s">
        <v>18</v>
      </c>
      <c r="C472" s="131">
        <v>100000</v>
      </c>
      <c r="D472" s="105"/>
      <c r="E472" s="105"/>
      <c r="F472" s="105">
        <f t="shared" si="18"/>
        <v>0</v>
      </c>
      <c r="G472" s="132"/>
      <c r="H472" s="4"/>
    </row>
    <row r="473" spans="1:8" x14ac:dyDescent="0.25">
      <c r="A473" s="129"/>
      <c r="B473" s="129" t="s">
        <v>19</v>
      </c>
      <c r="C473" s="131">
        <v>100000</v>
      </c>
      <c r="D473" s="105"/>
      <c r="E473" s="105"/>
      <c r="F473" s="105">
        <f t="shared" si="18"/>
        <v>0</v>
      </c>
      <c r="G473" s="132"/>
      <c r="H473" s="4"/>
    </row>
    <row r="474" spans="1:8" x14ac:dyDescent="0.25">
      <c r="A474" s="129"/>
      <c r="B474" s="129" t="s">
        <v>20</v>
      </c>
      <c r="C474" s="131">
        <v>100000</v>
      </c>
      <c r="D474" s="105"/>
      <c r="E474" s="105"/>
      <c r="F474" s="105">
        <f t="shared" si="18"/>
        <v>0</v>
      </c>
      <c r="G474" s="132"/>
      <c r="H474" s="4"/>
    </row>
    <row r="475" spans="1:8" x14ac:dyDescent="0.25">
      <c r="A475" s="129"/>
      <c r="B475" s="129" t="s">
        <v>21</v>
      </c>
      <c r="C475" s="131">
        <v>100000</v>
      </c>
      <c r="D475" s="105"/>
      <c r="E475" s="105"/>
      <c r="F475" s="105">
        <f t="shared" si="18"/>
        <v>0</v>
      </c>
      <c r="G475" s="132"/>
      <c r="H475" s="4"/>
    </row>
    <row r="476" spans="1:8" x14ac:dyDescent="0.25">
      <c r="A476" s="129"/>
      <c r="B476" s="129" t="s">
        <v>22</v>
      </c>
      <c r="C476" s="131">
        <v>100000</v>
      </c>
      <c r="D476" s="105"/>
      <c r="E476" s="105"/>
      <c r="F476" s="105">
        <f t="shared" si="18"/>
        <v>0</v>
      </c>
      <c r="G476" s="132"/>
      <c r="H476" s="4"/>
    </row>
    <row r="477" spans="1:8" x14ac:dyDescent="0.25">
      <c r="A477" s="129"/>
      <c r="B477" s="129" t="s">
        <v>23</v>
      </c>
      <c r="C477" s="131">
        <v>100000</v>
      </c>
      <c r="D477" s="105"/>
      <c r="E477" s="105"/>
      <c r="F477" s="105">
        <f t="shared" si="18"/>
        <v>0</v>
      </c>
      <c r="G477" s="132"/>
      <c r="H477" s="4"/>
    </row>
    <row r="478" spans="1:8" x14ac:dyDescent="0.25">
      <c r="A478" s="129"/>
      <c r="B478" s="129" t="s">
        <v>24</v>
      </c>
      <c r="C478" s="131">
        <v>100000</v>
      </c>
      <c r="D478" s="105"/>
      <c r="E478" s="105"/>
      <c r="F478" s="105">
        <f t="shared" si="18"/>
        <v>0</v>
      </c>
      <c r="G478" s="132"/>
      <c r="H478" s="4"/>
    </row>
    <row r="479" spans="1:8" x14ac:dyDescent="0.25">
      <c r="A479" s="129"/>
      <c r="B479" s="129" t="s">
        <v>25</v>
      </c>
      <c r="C479" s="131">
        <v>100000</v>
      </c>
      <c r="D479" s="105"/>
      <c r="E479" s="105"/>
      <c r="F479" s="105">
        <f t="shared" si="18"/>
        <v>0</v>
      </c>
      <c r="G479" s="132"/>
      <c r="H479" s="4"/>
    </row>
    <row r="480" spans="1:8" ht="16.5" thickBot="1" x14ac:dyDescent="0.3">
      <c r="A480" s="129"/>
      <c r="B480" s="129" t="s">
        <v>26</v>
      </c>
      <c r="C480" s="133">
        <v>100000</v>
      </c>
      <c r="D480" s="105"/>
      <c r="E480" s="105"/>
      <c r="F480" s="105">
        <f t="shared" si="18"/>
        <v>0</v>
      </c>
      <c r="G480" s="132"/>
      <c r="H480" s="4"/>
    </row>
    <row r="481" spans="1:8" ht="16.5" thickBot="1" x14ac:dyDescent="0.3">
      <c r="A481" s="210" t="s">
        <v>183</v>
      </c>
      <c r="B481" s="211"/>
      <c r="C481" s="109">
        <f>SUM(C461:C480)</f>
        <v>2000000</v>
      </c>
      <c r="D481" s="210" t="s">
        <v>184</v>
      </c>
      <c r="E481" s="211"/>
      <c r="F481" s="143"/>
      <c r="G481" s="101"/>
      <c r="H481" s="4"/>
    </row>
    <row r="482" spans="1:8" ht="16.5" thickBot="1" x14ac:dyDescent="0.3">
      <c r="D482" s="210" t="s">
        <v>181</v>
      </c>
      <c r="E482" s="211"/>
      <c r="F482" s="144"/>
      <c r="G482" s="101"/>
      <c r="H482" s="4"/>
    </row>
    <row r="483" spans="1:8" x14ac:dyDescent="0.25">
      <c r="D483" s="100"/>
      <c r="E483" s="100"/>
      <c r="F483" s="100"/>
      <c r="G483" s="101"/>
      <c r="H483" s="4"/>
    </row>
    <row r="484" spans="1:8" x14ac:dyDescent="0.25">
      <c r="D484" s="100"/>
      <c r="E484" s="100"/>
      <c r="F484" s="100"/>
      <c r="G484" s="101"/>
      <c r="H484" s="4"/>
    </row>
    <row r="485" spans="1:8" ht="16.5" thickBot="1" x14ac:dyDescent="0.3">
      <c r="D485" s="100"/>
      <c r="E485" s="100"/>
      <c r="F485" s="100"/>
      <c r="G485" s="101"/>
      <c r="H485" s="4"/>
    </row>
    <row r="486" spans="1:8" ht="16.5" thickBot="1" x14ac:dyDescent="0.3">
      <c r="A486" s="117" t="s">
        <v>70</v>
      </c>
      <c r="B486" s="118" t="s">
        <v>71</v>
      </c>
      <c r="C486" s="118" t="s">
        <v>72</v>
      </c>
      <c r="D486" s="119" t="s">
        <v>0</v>
      </c>
      <c r="E486" s="100"/>
      <c r="F486" s="100"/>
      <c r="G486" s="101"/>
      <c r="H486" s="4"/>
    </row>
    <row r="487" spans="1:8" ht="16.5" thickBot="1" x14ac:dyDescent="0.3">
      <c r="A487" s="120" t="s">
        <v>163</v>
      </c>
      <c r="B487" s="121">
        <v>20</v>
      </c>
      <c r="C487" s="122" t="s">
        <v>164</v>
      </c>
      <c r="D487" s="123"/>
      <c r="E487" s="100"/>
      <c r="F487" s="100"/>
      <c r="G487" s="101"/>
      <c r="H487" s="4"/>
    </row>
    <row r="488" spans="1:8" ht="16.5" thickBot="1" x14ac:dyDescent="0.3">
      <c r="A488" s="117" t="s">
        <v>1</v>
      </c>
      <c r="B488" s="118" t="s">
        <v>30</v>
      </c>
      <c r="C488" s="118" t="s">
        <v>2</v>
      </c>
      <c r="D488" s="118" t="s">
        <v>3</v>
      </c>
      <c r="E488" s="118" t="s">
        <v>4</v>
      </c>
      <c r="F488" s="103" t="s">
        <v>35</v>
      </c>
      <c r="G488" s="128" t="s">
        <v>6</v>
      </c>
      <c r="H488" s="4"/>
    </row>
    <row r="489" spans="1:8" x14ac:dyDescent="0.25">
      <c r="A489" s="129"/>
      <c r="B489" s="129" t="s">
        <v>7</v>
      </c>
      <c r="C489" s="131">
        <v>100000</v>
      </c>
      <c r="D489" s="105"/>
      <c r="E489" s="105"/>
      <c r="F489" s="105">
        <f>SUM(D489:E489)</f>
        <v>0</v>
      </c>
      <c r="G489" s="132"/>
      <c r="H489" s="4"/>
    </row>
    <row r="490" spans="1:8" x14ac:dyDescent="0.25">
      <c r="A490" s="129"/>
      <c r="B490" s="129" t="s">
        <v>8</v>
      </c>
      <c r="C490" s="131">
        <v>100000</v>
      </c>
      <c r="D490" s="105"/>
      <c r="E490" s="105"/>
      <c r="F490" s="105">
        <f t="shared" ref="F490:F508" si="19">SUM(D490:E490)</f>
        <v>0</v>
      </c>
      <c r="G490" s="132"/>
      <c r="H490" s="4"/>
    </row>
    <row r="491" spans="1:8" x14ac:dyDescent="0.25">
      <c r="A491" s="129"/>
      <c r="B491" s="129" t="s">
        <v>9</v>
      </c>
      <c r="C491" s="131">
        <v>100000</v>
      </c>
      <c r="D491" s="105"/>
      <c r="E491" s="105"/>
      <c r="F491" s="105">
        <f t="shared" si="19"/>
        <v>0</v>
      </c>
      <c r="G491" s="132"/>
      <c r="H491" s="4"/>
    </row>
    <row r="492" spans="1:8" x14ac:dyDescent="0.25">
      <c r="A492" s="129"/>
      <c r="B492" s="129" t="s">
        <v>10</v>
      </c>
      <c r="C492" s="131">
        <v>100000</v>
      </c>
      <c r="D492" s="105"/>
      <c r="E492" s="105"/>
      <c r="F492" s="105">
        <f t="shared" si="19"/>
        <v>0</v>
      </c>
      <c r="G492" s="132"/>
      <c r="H492" s="4"/>
    </row>
    <row r="493" spans="1:8" x14ac:dyDescent="0.25">
      <c r="A493" s="129"/>
      <c r="B493" s="129" t="s">
        <v>11</v>
      </c>
      <c r="C493" s="131">
        <v>100000</v>
      </c>
      <c r="D493" s="105"/>
      <c r="E493" s="105"/>
      <c r="F493" s="105">
        <f t="shared" si="19"/>
        <v>0</v>
      </c>
      <c r="G493" s="132"/>
      <c r="H493" s="4"/>
    </row>
    <row r="494" spans="1:8" x14ac:dyDescent="0.25">
      <c r="A494" s="129"/>
      <c r="B494" s="129" t="s">
        <v>12</v>
      </c>
      <c r="C494" s="131">
        <v>100000</v>
      </c>
      <c r="D494" s="105"/>
      <c r="E494" s="105"/>
      <c r="F494" s="105">
        <f t="shared" si="19"/>
        <v>0</v>
      </c>
      <c r="G494" s="132"/>
      <c r="H494" s="4"/>
    </row>
    <row r="495" spans="1:8" x14ac:dyDescent="0.25">
      <c r="A495" s="129"/>
      <c r="B495" s="129" t="s">
        <v>13</v>
      </c>
      <c r="C495" s="131">
        <v>100000</v>
      </c>
      <c r="D495" s="105"/>
      <c r="E495" s="105"/>
      <c r="F495" s="105">
        <f t="shared" si="19"/>
        <v>0</v>
      </c>
      <c r="G495" s="132"/>
      <c r="H495" s="4"/>
    </row>
    <row r="496" spans="1:8" x14ac:dyDescent="0.25">
      <c r="A496" s="129"/>
      <c r="B496" s="129" t="s">
        <v>14</v>
      </c>
      <c r="C496" s="131">
        <v>100000</v>
      </c>
      <c r="D496" s="105"/>
      <c r="E496" s="105"/>
      <c r="F496" s="105">
        <f t="shared" si="19"/>
        <v>0</v>
      </c>
      <c r="G496" s="132"/>
      <c r="H496" s="4"/>
    </row>
    <row r="497" spans="1:8" x14ac:dyDescent="0.25">
      <c r="A497" s="129"/>
      <c r="B497" s="129" t="s">
        <v>15</v>
      </c>
      <c r="C497" s="131">
        <v>100000</v>
      </c>
      <c r="D497" s="105"/>
      <c r="E497" s="105"/>
      <c r="F497" s="105">
        <f t="shared" si="19"/>
        <v>0</v>
      </c>
      <c r="G497" s="132"/>
      <c r="H497" s="4"/>
    </row>
    <row r="498" spans="1:8" x14ac:dyDescent="0.25">
      <c r="A498" s="129"/>
      <c r="B498" s="129" t="s">
        <v>16</v>
      </c>
      <c r="C498" s="131">
        <v>100000</v>
      </c>
      <c r="D498" s="105"/>
      <c r="E498" s="105"/>
      <c r="F498" s="105">
        <f t="shared" si="19"/>
        <v>0</v>
      </c>
      <c r="G498" s="132"/>
      <c r="H498" s="4"/>
    </row>
    <row r="499" spans="1:8" x14ac:dyDescent="0.25">
      <c r="A499" s="129"/>
      <c r="B499" s="129" t="s">
        <v>17</v>
      </c>
      <c r="C499" s="131">
        <v>100000</v>
      </c>
      <c r="D499" s="105"/>
      <c r="E499" s="105"/>
      <c r="F499" s="105">
        <f t="shared" si="19"/>
        <v>0</v>
      </c>
      <c r="G499" s="132"/>
      <c r="H499" s="4"/>
    </row>
    <row r="500" spans="1:8" x14ac:dyDescent="0.25">
      <c r="A500" s="129"/>
      <c r="B500" s="129" t="s">
        <v>18</v>
      </c>
      <c r="C500" s="131">
        <v>100000</v>
      </c>
      <c r="D500" s="105"/>
      <c r="E500" s="105"/>
      <c r="F500" s="105">
        <f t="shared" si="19"/>
        <v>0</v>
      </c>
      <c r="G500" s="132"/>
      <c r="H500" s="4"/>
    </row>
    <row r="501" spans="1:8" x14ac:dyDescent="0.25">
      <c r="A501" s="129"/>
      <c r="B501" s="129" t="s">
        <v>19</v>
      </c>
      <c r="C501" s="131">
        <v>100000</v>
      </c>
      <c r="D501" s="105"/>
      <c r="E501" s="105"/>
      <c r="F501" s="105">
        <f t="shared" si="19"/>
        <v>0</v>
      </c>
      <c r="G501" s="132"/>
      <c r="H501" s="4"/>
    </row>
    <row r="502" spans="1:8" x14ac:dyDescent="0.25">
      <c r="A502" s="129"/>
      <c r="B502" s="129" t="s">
        <v>20</v>
      </c>
      <c r="C502" s="131">
        <v>100000</v>
      </c>
      <c r="D502" s="105"/>
      <c r="E502" s="105"/>
      <c r="F502" s="105">
        <f t="shared" si="19"/>
        <v>0</v>
      </c>
      <c r="G502" s="132"/>
      <c r="H502" s="4"/>
    </row>
    <row r="503" spans="1:8" x14ac:dyDescent="0.25">
      <c r="A503" s="129"/>
      <c r="B503" s="129" t="s">
        <v>21</v>
      </c>
      <c r="C503" s="131">
        <v>100000</v>
      </c>
      <c r="D503" s="105"/>
      <c r="E503" s="105"/>
      <c r="F503" s="105">
        <f t="shared" si="19"/>
        <v>0</v>
      </c>
      <c r="G503" s="132"/>
      <c r="H503" s="4"/>
    </row>
    <row r="504" spans="1:8" x14ac:dyDescent="0.25">
      <c r="A504" s="129"/>
      <c r="B504" s="129" t="s">
        <v>22</v>
      </c>
      <c r="C504" s="131">
        <v>100000</v>
      </c>
      <c r="D504" s="105"/>
      <c r="E504" s="105"/>
      <c r="F504" s="105">
        <f t="shared" si="19"/>
        <v>0</v>
      </c>
      <c r="G504" s="132"/>
      <c r="H504" s="4"/>
    </row>
    <row r="505" spans="1:8" x14ac:dyDescent="0.25">
      <c r="A505" s="129"/>
      <c r="B505" s="129" t="s">
        <v>23</v>
      </c>
      <c r="C505" s="131">
        <v>100000</v>
      </c>
      <c r="D505" s="105"/>
      <c r="E505" s="105"/>
      <c r="F505" s="105">
        <f t="shared" si="19"/>
        <v>0</v>
      </c>
      <c r="G505" s="132"/>
      <c r="H505" s="4"/>
    </row>
    <row r="506" spans="1:8" x14ac:dyDescent="0.25">
      <c r="A506" s="129"/>
      <c r="B506" s="129" t="s">
        <v>24</v>
      </c>
      <c r="C506" s="131">
        <v>100000</v>
      </c>
      <c r="D506" s="105"/>
      <c r="E506" s="105"/>
      <c r="F506" s="105">
        <f t="shared" si="19"/>
        <v>0</v>
      </c>
      <c r="G506" s="132"/>
      <c r="H506" s="4"/>
    </row>
    <row r="507" spans="1:8" x14ac:dyDescent="0.25">
      <c r="A507" s="129"/>
      <c r="B507" s="129" t="s">
        <v>25</v>
      </c>
      <c r="C507" s="131">
        <v>100000</v>
      </c>
      <c r="D507" s="105"/>
      <c r="E507" s="105"/>
      <c r="F507" s="105">
        <f t="shared" si="19"/>
        <v>0</v>
      </c>
      <c r="G507" s="132"/>
      <c r="H507" s="4"/>
    </row>
    <row r="508" spans="1:8" ht="16.5" thickBot="1" x14ac:dyDescent="0.3">
      <c r="A508" s="129"/>
      <c r="B508" s="129" t="s">
        <v>26</v>
      </c>
      <c r="C508" s="133">
        <v>100000</v>
      </c>
      <c r="D508" s="105"/>
      <c r="E508" s="105"/>
      <c r="F508" s="105">
        <f t="shared" si="19"/>
        <v>0</v>
      </c>
      <c r="G508" s="132"/>
      <c r="H508" s="4"/>
    </row>
    <row r="509" spans="1:8" ht="16.5" thickBot="1" x14ac:dyDescent="0.3">
      <c r="A509" s="210" t="s">
        <v>183</v>
      </c>
      <c r="B509" s="211"/>
      <c r="C509" s="109">
        <f>SUM(C489:C508)</f>
        <v>2000000</v>
      </c>
      <c r="D509" s="210" t="s">
        <v>184</v>
      </c>
      <c r="E509" s="211"/>
      <c r="F509" s="134">
        <f>SUM(F489:F508)</f>
        <v>0</v>
      </c>
      <c r="G509" s="101"/>
      <c r="H509" s="4"/>
    </row>
    <row r="510" spans="1:8" ht="16.5" thickBot="1" x14ac:dyDescent="0.3">
      <c r="D510" s="210" t="s">
        <v>181</v>
      </c>
      <c r="E510" s="211"/>
      <c r="F510" s="115">
        <f>C509-F509</f>
        <v>2000000</v>
      </c>
      <c r="G510" s="101"/>
      <c r="H510" s="4"/>
    </row>
    <row r="511" spans="1:8" x14ac:dyDescent="0.25">
      <c r="D511" s="100"/>
      <c r="E511" s="100"/>
      <c r="F511" s="100"/>
      <c r="G511" s="101"/>
      <c r="H511" s="4"/>
    </row>
    <row r="512" spans="1:8" ht="21" x14ac:dyDescent="0.35">
      <c r="A512" s="96"/>
      <c r="B512" s="96"/>
      <c r="C512" s="97" t="s">
        <v>190</v>
      </c>
      <c r="D512" s="96"/>
      <c r="E512" s="96"/>
      <c r="F512" s="96"/>
      <c r="G512" s="97"/>
      <c r="H512" s="4"/>
    </row>
    <row r="513" spans="1:8" x14ac:dyDescent="0.25">
      <c r="D513" s="100"/>
      <c r="E513" s="100"/>
      <c r="F513" s="100"/>
      <c r="G513" s="101"/>
      <c r="H513" s="4"/>
    </row>
    <row r="514" spans="1:8" ht="16.5" thickBot="1" x14ac:dyDescent="0.3">
      <c r="D514" s="100"/>
      <c r="E514" s="100"/>
      <c r="F514" s="100"/>
      <c r="G514" s="101"/>
      <c r="H514" s="4"/>
    </row>
    <row r="515" spans="1:8" ht="16.5" thickBot="1" x14ac:dyDescent="0.3">
      <c r="A515" s="117" t="s">
        <v>70</v>
      </c>
      <c r="B515" s="118" t="s">
        <v>71</v>
      </c>
      <c r="C515" s="118" t="s">
        <v>72</v>
      </c>
      <c r="D515" s="119" t="s">
        <v>0</v>
      </c>
      <c r="E515" s="100"/>
      <c r="F515" s="100"/>
      <c r="G515" s="101"/>
      <c r="H515" s="4"/>
    </row>
    <row r="516" spans="1:8" ht="16.5" thickBot="1" x14ac:dyDescent="0.3">
      <c r="A516" s="120" t="s">
        <v>165</v>
      </c>
      <c r="B516" s="121">
        <v>20</v>
      </c>
      <c r="C516" s="122" t="s">
        <v>166</v>
      </c>
      <c r="D516" s="123"/>
      <c r="E516" s="100"/>
      <c r="F516" s="100"/>
      <c r="G516" s="101"/>
      <c r="H516" s="4"/>
    </row>
    <row r="517" spans="1:8" ht="16.5" thickBot="1" x14ac:dyDescent="0.3">
      <c r="A517" s="117" t="s">
        <v>1</v>
      </c>
      <c r="B517" s="118" t="s">
        <v>30</v>
      </c>
      <c r="C517" s="118" t="s">
        <v>2</v>
      </c>
      <c r="D517" s="118" t="s">
        <v>3</v>
      </c>
      <c r="E517" s="118" t="s">
        <v>4</v>
      </c>
      <c r="F517" s="103" t="s">
        <v>35</v>
      </c>
      <c r="G517" s="128" t="s">
        <v>6</v>
      </c>
      <c r="H517" s="4"/>
    </row>
    <row r="518" spans="1:8" x14ac:dyDescent="0.25">
      <c r="A518" s="129"/>
      <c r="B518" s="129" t="s">
        <v>7</v>
      </c>
      <c r="C518" s="131">
        <v>100000</v>
      </c>
      <c r="D518" s="105"/>
      <c r="E518" s="105"/>
      <c r="F518" s="105">
        <f>SUM(D518:E518)</f>
        <v>0</v>
      </c>
      <c r="G518" s="132"/>
      <c r="H518" s="4"/>
    </row>
    <row r="519" spans="1:8" x14ac:dyDescent="0.25">
      <c r="A519" s="129"/>
      <c r="B519" s="129" t="s">
        <v>8</v>
      </c>
      <c r="C519" s="131">
        <v>100000</v>
      </c>
      <c r="D519" s="105"/>
      <c r="E519" s="105"/>
      <c r="F519" s="105">
        <f t="shared" ref="F519:F537" si="20">SUM(D519:E519)</f>
        <v>0</v>
      </c>
      <c r="G519" s="132"/>
      <c r="H519" s="4"/>
    </row>
    <row r="520" spans="1:8" x14ac:dyDescent="0.25">
      <c r="A520" s="129"/>
      <c r="B520" s="129" t="s">
        <v>9</v>
      </c>
      <c r="C520" s="131">
        <v>100000</v>
      </c>
      <c r="D520" s="105"/>
      <c r="E520" s="105"/>
      <c r="F520" s="105">
        <f t="shared" si="20"/>
        <v>0</v>
      </c>
      <c r="G520" s="132"/>
      <c r="H520" s="4"/>
    </row>
    <row r="521" spans="1:8" x14ac:dyDescent="0.25">
      <c r="A521" s="136" t="s">
        <v>167</v>
      </c>
      <c r="B521" s="136" t="s">
        <v>10</v>
      </c>
      <c r="C521" s="137">
        <v>100000</v>
      </c>
      <c r="D521" s="138">
        <v>100000</v>
      </c>
      <c r="E521" s="138"/>
      <c r="F521" s="105">
        <f t="shared" si="20"/>
        <v>100000</v>
      </c>
      <c r="G521" s="139" t="s">
        <v>31</v>
      </c>
      <c r="H521" s="4"/>
    </row>
    <row r="522" spans="1:8" x14ac:dyDescent="0.25">
      <c r="A522" s="136" t="s">
        <v>168</v>
      </c>
      <c r="B522" s="136" t="s">
        <v>11</v>
      </c>
      <c r="C522" s="137">
        <v>100000</v>
      </c>
      <c r="D522" s="138">
        <v>100000</v>
      </c>
      <c r="E522" s="138"/>
      <c r="F522" s="105">
        <f t="shared" si="20"/>
        <v>100000</v>
      </c>
      <c r="G522" s="139" t="s">
        <v>31</v>
      </c>
      <c r="H522" s="4"/>
    </row>
    <row r="523" spans="1:8" x14ac:dyDescent="0.25">
      <c r="A523" s="129"/>
      <c r="B523" s="129" t="s">
        <v>12</v>
      </c>
      <c r="C523" s="131">
        <v>100000</v>
      </c>
      <c r="D523" s="105"/>
      <c r="E523" s="105"/>
      <c r="F523" s="105">
        <f t="shared" si="20"/>
        <v>0</v>
      </c>
      <c r="G523" s="132"/>
      <c r="H523" s="4"/>
    </row>
    <row r="524" spans="1:8" x14ac:dyDescent="0.25">
      <c r="A524" s="129"/>
      <c r="B524" s="129" t="s">
        <v>13</v>
      </c>
      <c r="C524" s="131">
        <v>100000</v>
      </c>
      <c r="D524" s="105"/>
      <c r="E524" s="105"/>
      <c r="F524" s="105">
        <f t="shared" si="20"/>
        <v>0</v>
      </c>
      <c r="G524" s="132"/>
      <c r="H524" s="4"/>
    </row>
    <row r="525" spans="1:8" x14ac:dyDescent="0.25">
      <c r="A525" s="129"/>
      <c r="B525" s="129" t="s">
        <v>14</v>
      </c>
      <c r="C525" s="131">
        <v>100000</v>
      </c>
      <c r="D525" s="105"/>
      <c r="E525" s="105"/>
      <c r="F525" s="105">
        <f t="shared" si="20"/>
        <v>0</v>
      </c>
      <c r="G525" s="132"/>
      <c r="H525" s="4"/>
    </row>
    <row r="526" spans="1:8" x14ac:dyDescent="0.25">
      <c r="A526" s="129"/>
      <c r="B526" s="129" t="s">
        <v>15</v>
      </c>
      <c r="C526" s="131">
        <v>100000</v>
      </c>
      <c r="D526" s="105"/>
      <c r="E526" s="105"/>
      <c r="F526" s="105">
        <f t="shared" si="20"/>
        <v>0</v>
      </c>
      <c r="G526" s="132"/>
      <c r="H526" s="4"/>
    </row>
    <row r="527" spans="1:8" x14ac:dyDescent="0.25">
      <c r="A527" s="129"/>
      <c r="B527" s="129" t="s">
        <v>16</v>
      </c>
      <c r="C527" s="131">
        <v>100000</v>
      </c>
      <c r="D527" s="105"/>
      <c r="E527" s="105"/>
      <c r="F527" s="105">
        <f t="shared" si="20"/>
        <v>0</v>
      </c>
      <c r="G527" s="132"/>
      <c r="H527" s="4"/>
    </row>
    <row r="528" spans="1:8" x14ac:dyDescent="0.25">
      <c r="A528" s="129"/>
      <c r="B528" s="129" t="s">
        <v>17</v>
      </c>
      <c r="C528" s="131">
        <v>100000</v>
      </c>
      <c r="D528" s="105"/>
      <c r="E528" s="105"/>
      <c r="F528" s="105">
        <f t="shared" si="20"/>
        <v>0</v>
      </c>
      <c r="G528" s="132"/>
      <c r="H528" s="4"/>
    </row>
    <row r="529" spans="1:8" x14ac:dyDescent="0.25">
      <c r="A529" s="129"/>
      <c r="B529" s="129" t="s">
        <v>18</v>
      </c>
      <c r="C529" s="131">
        <v>100000</v>
      </c>
      <c r="D529" s="105"/>
      <c r="E529" s="105"/>
      <c r="F529" s="105">
        <f t="shared" si="20"/>
        <v>0</v>
      </c>
      <c r="G529" s="132"/>
      <c r="H529" s="4"/>
    </row>
    <row r="530" spans="1:8" x14ac:dyDescent="0.25">
      <c r="A530" s="129"/>
      <c r="B530" s="129" t="s">
        <v>19</v>
      </c>
      <c r="C530" s="131">
        <v>100000</v>
      </c>
      <c r="D530" s="105"/>
      <c r="E530" s="105"/>
      <c r="F530" s="105">
        <f t="shared" si="20"/>
        <v>0</v>
      </c>
      <c r="G530" s="132"/>
      <c r="H530" s="4"/>
    </row>
    <row r="531" spans="1:8" x14ac:dyDescent="0.25">
      <c r="A531" s="129"/>
      <c r="B531" s="129" t="s">
        <v>20</v>
      </c>
      <c r="C531" s="131">
        <v>100000</v>
      </c>
      <c r="D531" s="105"/>
      <c r="E531" s="105"/>
      <c r="F531" s="105">
        <f t="shared" si="20"/>
        <v>0</v>
      </c>
      <c r="G531" s="132"/>
      <c r="H531" s="4"/>
    </row>
    <row r="532" spans="1:8" x14ac:dyDescent="0.25">
      <c r="A532" s="129"/>
      <c r="B532" s="129" t="s">
        <v>21</v>
      </c>
      <c r="C532" s="131">
        <v>100000</v>
      </c>
      <c r="D532" s="105"/>
      <c r="E532" s="105"/>
      <c r="F532" s="105">
        <f t="shared" si="20"/>
        <v>0</v>
      </c>
      <c r="G532" s="132"/>
      <c r="H532" s="4"/>
    </row>
    <row r="533" spans="1:8" x14ac:dyDescent="0.25">
      <c r="A533" s="129"/>
      <c r="B533" s="129" t="s">
        <v>22</v>
      </c>
      <c r="C533" s="131">
        <v>100000</v>
      </c>
      <c r="D533" s="105"/>
      <c r="E533" s="105"/>
      <c r="F533" s="105">
        <f t="shared" si="20"/>
        <v>0</v>
      </c>
      <c r="G533" s="132"/>
      <c r="H533" s="4"/>
    </row>
    <row r="534" spans="1:8" x14ac:dyDescent="0.25">
      <c r="A534" s="129"/>
      <c r="B534" s="129" t="s">
        <v>23</v>
      </c>
      <c r="C534" s="131">
        <v>100000</v>
      </c>
      <c r="D534" s="105"/>
      <c r="E534" s="105"/>
      <c r="F534" s="105">
        <f t="shared" si="20"/>
        <v>0</v>
      </c>
      <c r="G534" s="132"/>
      <c r="H534" s="4"/>
    </row>
    <row r="535" spans="1:8" x14ac:dyDescent="0.25">
      <c r="A535" s="129"/>
      <c r="B535" s="129" t="s">
        <v>24</v>
      </c>
      <c r="C535" s="131">
        <v>100000</v>
      </c>
      <c r="D535" s="105"/>
      <c r="E535" s="105"/>
      <c r="F535" s="105">
        <f t="shared" si="20"/>
        <v>0</v>
      </c>
      <c r="G535" s="132"/>
      <c r="H535" s="4"/>
    </row>
    <row r="536" spans="1:8" x14ac:dyDescent="0.25">
      <c r="A536" s="129"/>
      <c r="B536" s="129" t="s">
        <v>25</v>
      </c>
      <c r="C536" s="131">
        <v>100000</v>
      </c>
      <c r="D536" s="105"/>
      <c r="E536" s="105"/>
      <c r="F536" s="105">
        <f t="shared" si="20"/>
        <v>0</v>
      </c>
      <c r="G536" s="132"/>
      <c r="H536" s="4"/>
    </row>
    <row r="537" spans="1:8" ht="16.5" thickBot="1" x14ac:dyDescent="0.3">
      <c r="A537" s="129"/>
      <c r="B537" s="129" t="s">
        <v>26</v>
      </c>
      <c r="C537" s="133">
        <v>100000</v>
      </c>
      <c r="D537" s="105"/>
      <c r="E537" s="105"/>
      <c r="F537" s="105">
        <f t="shared" si="20"/>
        <v>0</v>
      </c>
      <c r="G537" s="132"/>
      <c r="H537" s="4"/>
    </row>
    <row r="538" spans="1:8" ht="16.5" thickBot="1" x14ac:dyDescent="0.3">
      <c r="A538" s="210" t="s">
        <v>183</v>
      </c>
      <c r="B538" s="211"/>
      <c r="C538" s="109">
        <f>SUM(C518:C537)</f>
        <v>2000000</v>
      </c>
      <c r="D538" s="210" t="s">
        <v>184</v>
      </c>
      <c r="E538" s="211"/>
      <c r="F538" s="134">
        <f>SUM(F518:F537)</f>
        <v>200000</v>
      </c>
      <c r="G538" s="101"/>
      <c r="H538" s="4"/>
    </row>
    <row r="539" spans="1:8" ht="16.5" thickBot="1" x14ac:dyDescent="0.3">
      <c r="D539" s="210" t="s">
        <v>181</v>
      </c>
      <c r="E539" s="211"/>
      <c r="F539" s="115">
        <f>C538-F538</f>
        <v>1800000</v>
      </c>
      <c r="G539" s="101"/>
      <c r="H539" s="4"/>
    </row>
    <row r="540" spans="1:8" x14ac:dyDescent="0.25">
      <c r="D540" s="100"/>
      <c r="E540" s="100"/>
      <c r="F540" s="100"/>
      <c r="G540" s="101"/>
      <c r="H540" s="4"/>
    </row>
    <row r="541" spans="1:8" x14ac:dyDescent="0.25">
      <c r="D541" s="100"/>
      <c r="E541" s="100"/>
      <c r="F541" s="100"/>
      <c r="G541" s="101"/>
      <c r="H541" s="4"/>
    </row>
    <row r="542" spans="1:8" ht="16.5" thickBot="1" x14ac:dyDescent="0.3">
      <c r="D542" s="100"/>
      <c r="E542" s="100"/>
      <c r="F542" s="100"/>
      <c r="G542" s="101"/>
      <c r="H542" s="4"/>
    </row>
    <row r="543" spans="1:8" ht="16.5" thickBot="1" x14ac:dyDescent="0.3">
      <c r="A543" s="117" t="s">
        <v>70</v>
      </c>
      <c r="B543" s="118" t="s">
        <v>71</v>
      </c>
      <c r="C543" s="118" t="s">
        <v>72</v>
      </c>
      <c r="D543" s="119" t="s">
        <v>0</v>
      </c>
      <c r="E543" s="100"/>
      <c r="F543" s="100"/>
      <c r="G543" s="101"/>
      <c r="H543" s="4"/>
    </row>
    <row r="544" spans="1:8" ht="16.5" thickBot="1" x14ac:dyDescent="0.3">
      <c r="A544" s="120" t="s">
        <v>169</v>
      </c>
      <c r="B544" s="121">
        <v>20</v>
      </c>
      <c r="C544" s="122" t="s">
        <v>170</v>
      </c>
      <c r="D544" s="123"/>
      <c r="E544" s="100"/>
      <c r="F544" s="100"/>
      <c r="G544" s="101"/>
      <c r="H544" s="4"/>
    </row>
    <row r="545" spans="1:8" ht="16.5" thickBot="1" x14ac:dyDescent="0.3">
      <c r="A545" s="117" t="s">
        <v>1</v>
      </c>
      <c r="B545" s="118" t="s">
        <v>30</v>
      </c>
      <c r="C545" s="118" t="s">
        <v>2</v>
      </c>
      <c r="D545" s="118" t="s">
        <v>3</v>
      </c>
      <c r="E545" s="118" t="s">
        <v>4</v>
      </c>
      <c r="F545" s="103" t="s">
        <v>35</v>
      </c>
      <c r="G545" s="128" t="s">
        <v>6</v>
      </c>
      <c r="H545" s="4"/>
    </row>
    <row r="546" spans="1:8" x14ac:dyDescent="0.25">
      <c r="A546" s="129"/>
      <c r="B546" s="129" t="s">
        <v>7</v>
      </c>
      <c r="C546" s="131">
        <v>100000</v>
      </c>
      <c r="D546" s="105"/>
      <c r="E546" s="105"/>
      <c r="F546" s="105">
        <f>SUM(D546:E546)</f>
        <v>0</v>
      </c>
      <c r="G546" s="132"/>
      <c r="H546" s="4"/>
    </row>
    <row r="547" spans="1:8" x14ac:dyDescent="0.25">
      <c r="A547" s="129"/>
      <c r="B547" s="129" t="s">
        <v>8</v>
      </c>
      <c r="C547" s="131">
        <v>100000</v>
      </c>
      <c r="D547" s="105"/>
      <c r="E547" s="105"/>
      <c r="F547" s="105">
        <f t="shared" ref="F547:F565" si="21">SUM(D547:E547)</f>
        <v>0</v>
      </c>
      <c r="G547" s="132"/>
      <c r="H547" s="4"/>
    </row>
    <row r="548" spans="1:8" x14ac:dyDescent="0.25">
      <c r="A548" s="129"/>
      <c r="B548" s="129" t="s">
        <v>9</v>
      </c>
      <c r="C548" s="131">
        <v>100000</v>
      </c>
      <c r="D548" s="105"/>
      <c r="E548" s="105"/>
      <c r="F548" s="105">
        <f t="shared" si="21"/>
        <v>0</v>
      </c>
      <c r="G548" s="132"/>
      <c r="H548" s="4"/>
    </row>
    <row r="549" spans="1:8" x14ac:dyDescent="0.25">
      <c r="A549" s="129"/>
      <c r="B549" s="129" t="s">
        <v>10</v>
      </c>
      <c r="C549" s="131">
        <v>100000</v>
      </c>
      <c r="D549" s="105"/>
      <c r="E549" s="105"/>
      <c r="F549" s="105">
        <f t="shared" si="21"/>
        <v>0</v>
      </c>
      <c r="G549" s="132"/>
      <c r="H549" s="4"/>
    </row>
    <row r="550" spans="1:8" x14ac:dyDescent="0.25">
      <c r="A550" s="129"/>
      <c r="B550" s="129" t="s">
        <v>11</v>
      </c>
      <c r="C550" s="131">
        <v>100000</v>
      </c>
      <c r="D550" s="105"/>
      <c r="E550" s="105"/>
      <c r="F550" s="105">
        <f t="shared" si="21"/>
        <v>0</v>
      </c>
      <c r="G550" s="132"/>
      <c r="H550" s="4"/>
    </row>
    <row r="551" spans="1:8" x14ac:dyDescent="0.25">
      <c r="A551" s="129"/>
      <c r="B551" s="129" t="s">
        <v>12</v>
      </c>
      <c r="C551" s="131">
        <v>100000</v>
      </c>
      <c r="D551" s="105"/>
      <c r="E551" s="105"/>
      <c r="F551" s="105">
        <f t="shared" si="21"/>
        <v>0</v>
      </c>
      <c r="G551" s="132"/>
      <c r="H551" s="4"/>
    </row>
    <row r="552" spans="1:8" x14ac:dyDescent="0.25">
      <c r="A552" s="129"/>
      <c r="B552" s="129" t="s">
        <v>13</v>
      </c>
      <c r="C552" s="131">
        <v>100000</v>
      </c>
      <c r="D552" s="105"/>
      <c r="E552" s="105"/>
      <c r="F552" s="105">
        <f t="shared" si="21"/>
        <v>0</v>
      </c>
      <c r="G552" s="132"/>
      <c r="H552" s="4"/>
    </row>
    <row r="553" spans="1:8" x14ac:dyDescent="0.25">
      <c r="A553" s="136" t="s">
        <v>283</v>
      </c>
      <c r="B553" s="136" t="s">
        <v>14</v>
      </c>
      <c r="C553" s="137">
        <v>100000</v>
      </c>
      <c r="D553" s="138">
        <v>100000</v>
      </c>
      <c r="E553" s="138"/>
      <c r="F553" s="105">
        <f t="shared" si="21"/>
        <v>100000</v>
      </c>
      <c r="G553" s="139" t="s">
        <v>31</v>
      </c>
      <c r="H553" s="4"/>
    </row>
    <row r="554" spans="1:8" x14ac:dyDescent="0.25">
      <c r="A554" s="129"/>
      <c r="B554" s="129" t="s">
        <v>15</v>
      </c>
      <c r="C554" s="131">
        <v>100000</v>
      </c>
      <c r="D554" s="105"/>
      <c r="E554" s="105"/>
      <c r="F554" s="105">
        <f t="shared" si="21"/>
        <v>0</v>
      </c>
      <c r="G554" s="132"/>
      <c r="H554" s="4"/>
    </row>
    <row r="555" spans="1:8" x14ac:dyDescent="0.25">
      <c r="A555" s="129"/>
      <c r="B555" s="129" t="s">
        <v>16</v>
      </c>
      <c r="C555" s="131">
        <v>100000</v>
      </c>
      <c r="D555" s="105"/>
      <c r="E555" s="105"/>
      <c r="F555" s="105">
        <f t="shared" si="21"/>
        <v>0</v>
      </c>
      <c r="G555" s="132"/>
      <c r="H555" s="4"/>
    </row>
    <row r="556" spans="1:8" x14ac:dyDescent="0.25">
      <c r="A556" s="136" t="s">
        <v>171</v>
      </c>
      <c r="B556" s="136" t="s">
        <v>17</v>
      </c>
      <c r="C556" s="137">
        <v>100000</v>
      </c>
      <c r="D556" s="138">
        <v>100000</v>
      </c>
      <c r="E556" s="138"/>
      <c r="F556" s="105">
        <f t="shared" si="21"/>
        <v>100000</v>
      </c>
      <c r="G556" s="139" t="s">
        <v>31</v>
      </c>
      <c r="H556" s="4"/>
    </row>
    <row r="557" spans="1:8" x14ac:dyDescent="0.25">
      <c r="A557" s="129"/>
      <c r="B557" s="129" t="s">
        <v>18</v>
      </c>
      <c r="C557" s="131">
        <v>100000</v>
      </c>
      <c r="D557" s="105"/>
      <c r="E557" s="105"/>
      <c r="F557" s="105">
        <f t="shared" si="21"/>
        <v>0</v>
      </c>
      <c r="G557" s="132"/>
      <c r="H557" s="4"/>
    </row>
    <row r="558" spans="1:8" x14ac:dyDescent="0.25">
      <c r="A558" s="129"/>
      <c r="B558" s="129" t="s">
        <v>19</v>
      </c>
      <c r="C558" s="131">
        <v>100000</v>
      </c>
      <c r="D558" s="105"/>
      <c r="E558" s="105"/>
      <c r="F558" s="105">
        <f t="shared" si="21"/>
        <v>0</v>
      </c>
      <c r="G558" s="132"/>
      <c r="H558" s="4"/>
    </row>
    <row r="559" spans="1:8" x14ac:dyDescent="0.25">
      <c r="A559" s="129"/>
      <c r="B559" s="129" t="s">
        <v>20</v>
      </c>
      <c r="C559" s="131">
        <v>100000</v>
      </c>
      <c r="D559" s="105"/>
      <c r="E559" s="105"/>
      <c r="F559" s="105">
        <f t="shared" si="21"/>
        <v>0</v>
      </c>
      <c r="G559" s="132"/>
      <c r="H559" s="4"/>
    </row>
    <row r="560" spans="1:8" x14ac:dyDescent="0.25">
      <c r="A560" s="129"/>
      <c r="B560" s="129" t="s">
        <v>21</v>
      </c>
      <c r="C560" s="131">
        <v>100000</v>
      </c>
      <c r="D560" s="105"/>
      <c r="E560" s="105"/>
      <c r="F560" s="105">
        <f t="shared" si="21"/>
        <v>0</v>
      </c>
      <c r="G560" s="132"/>
      <c r="H560" s="4"/>
    </row>
    <row r="561" spans="1:8" x14ac:dyDescent="0.25">
      <c r="A561" s="129"/>
      <c r="B561" s="129" t="s">
        <v>22</v>
      </c>
      <c r="C561" s="131">
        <v>100000</v>
      </c>
      <c r="D561" s="105"/>
      <c r="E561" s="105"/>
      <c r="F561" s="105">
        <f t="shared" si="21"/>
        <v>0</v>
      </c>
      <c r="G561" s="132"/>
      <c r="H561" s="4"/>
    </row>
    <row r="562" spans="1:8" x14ac:dyDescent="0.25">
      <c r="A562" s="129"/>
      <c r="B562" s="129" t="s">
        <v>23</v>
      </c>
      <c r="C562" s="131">
        <v>100000</v>
      </c>
      <c r="D562" s="105"/>
      <c r="E562" s="105"/>
      <c r="F562" s="105">
        <f t="shared" si="21"/>
        <v>0</v>
      </c>
      <c r="G562" s="132"/>
      <c r="H562" s="4"/>
    </row>
    <row r="563" spans="1:8" x14ac:dyDescent="0.25">
      <c r="A563" s="129"/>
      <c r="B563" s="129" t="s">
        <v>24</v>
      </c>
      <c r="C563" s="131">
        <v>100000</v>
      </c>
      <c r="D563" s="105"/>
      <c r="E563" s="105"/>
      <c r="F563" s="105">
        <f t="shared" si="21"/>
        <v>0</v>
      </c>
      <c r="G563" s="132"/>
      <c r="H563" s="4"/>
    </row>
    <row r="564" spans="1:8" x14ac:dyDescent="0.25">
      <c r="A564" s="129"/>
      <c r="B564" s="129" t="s">
        <v>25</v>
      </c>
      <c r="C564" s="131">
        <v>100000</v>
      </c>
      <c r="D564" s="105"/>
      <c r="E564" s="105"/>
      <c r="F564" s="105">
        <f t="shared" si="21"/>
        <v>0</v>
      </c>
      <c r="G564" s="132"/>
      <c r="H564" s="4"/>
    </row>
    <row r="565" spans="1:8" ht="16.5" thickBot="1" x14ac:dyDescent="0.3">
      <c r="A565" s="129"/>
      <c r="B565" s="129" t="s">
        <v>26</v>
      </c>
      <c r="C565" s="133">
        <v>100000</v>
      </c>
      <c r="D565" s="105"/>
      <c r="E565" s="105"/>
      <c r="F565" s="105">
        <f t="shared" si="21"/>
        <v>0</v>
      </c>
      <c r="G565" s="132"/>
      <c r="H565" s="4"/>
    </row>
    <row r="566" spans="1:8" ht="16.5" thickBot="1" x14ac:dyDescent="0.3">
      <c r="A566" s="210" t="s">
        <v>183</v>
      </c>
      <c r="B566" s="211"/>
      <c r="C566" s="109">
        <f>SUM(C546:C565)</f>
        <v>2000000</v>
      </c>
      <c r="D566" s="210" t="s">
        <v>184</v>
      </c>
      <c r="E566" s="211"/>
      <c r="F566" s="110">
        <f>SUM(F546:F565)</f>
        <v>200000</v>
      </c>
      <c r="G566" s="101"/>
      <c r="H566" s="4"/>
    </row>
    <row r="567" spans="1:8" ht="16.5" thickBot="1" x14ac:dyDescent="0.3">
      <c r="D567" s="210" t="s">
        <v>181</v>
      </c>
      <c r="E567" s="211"/>
      <c r="F567" s="115">
        <f>C566-F566</f>
        <v>1800000</v>
      </c>
      <c r="G567" s="101"/>
      <c r="H567" s="4"/>
    </row>
    <row r="568" spans="1:8" x14ac:dyDescent="0.25">
      <c r="D568" s="100"/>
      <c r="E568" s="100"/>
      <c r="F568" s="100"/>
      <c r="G568" s="101"/>
      <c r="H568" s="4"/>
    </row>
    <row r="569" spans="1:8" ht="21" x14ac:dyDescent="0.35">
      <c r="A569" s="96"/>
      <c r="B569" s="96"/>
      <c r="C569" s="97" t="s">
        <v>190</v>
      </c>
      <c r="D569" s="96"/>
      <c r="E569" s="96"/>
      <c r="F569" s="96"/>
      <c r="G569" s="97"/>
      <c r="H569" s="4"/>
    </row>
    <row r="570" spans="1:8" x14ac:dyDescent="0.25">
      <c r="D570" s="100"/>
      <c r="E570" s="100"/>
      <c r="F570" s="100"/>
      <c r="G570" s="101"/>
      <c r="H570" s="4"/>
    </row>
    <row r="571" spans="1:8" ht="16.5" thickBot="1" x14ac:dyDescent="0.3">
      <c r="D571" s="100"/>
      <c r="E571" s="100"/>
      <c r="F571" s="100"/>
      <c r="G571" s="101"/>
      <c r="H571" s="4"/>
    </row>
    <row r="572" spans="1:8" ht="16.5" thickBot="1" x14ac:dyDescent="0.3">
      <c r="A572" s="117" t="s">
        <v>70</v>
      </c>
      <c r="B572" s="118" t="s">
        <v>71</v>
      </c>
      <c r="C572" s="118" t="s">
        <v>72</v>
      </c>
      <c r="D572" s="119" t="s">
        <v>0</v>
      </c>
      <c r="E572" s="100"/>
      <c r="F572" s="100"/>
      <c r="G572" s="101"/>
      <c r="H572" s="4"/>
    </row>
    <row r="573" spans="1:8" ht="16.5" thickBot="1" x14ac:dyDescent="0.3">
      <c r="A573" s="120" t="s">
        <v>172</v>
      </c>
      <c r="B573" s="121">
        <v>20</v>
      </c>
      <c r="C573" s="122" t="s">
        <v>173</v>
      </c>
      <c r="D573" s="123"/>
      <c r="E573" s="100"/>
      <c r="F573" s="100"/>
      <c r="G573" s="101"/>
      <c r="H573" s="4"/>
    </row>
    <row r="574" spans="1:8" ht="16.5" thickBot="1" x14ac:dyDescent="0.3">
      <c r="A574" s="117" t="s">
        <v>1</v>
      </c>
      <c r="B574" s="118" t="s">
        <v>30</v>
      </c>
      <c r="C574" s="118" t="s">
        <v>2</v>
      </c>
      <c r="D574" s="118" t="s">
        <v>3</v>
      </c>
      <c r="E574" s="118" t="s">
        <v>4</v>
      </c>
      <c r="F574" s="103" t="s">
        <v>35</v>
      </c>
      <c r="G574" s="128" t="s">
        <v>6</v>
      </c>
      <c r="H574" s="4"/>
    </row>
    <row r="575" spans="1:8" x14ac:dyDescent="0.25">
      <c r="A575" s="129"/>
      <c r="B575" s="129" t="s">
        <v>7</v>
      </c>
      <c r="C575" s="131">
        <v>100000</v>
      </c>
      <c r="D575" s="105"/>
      <c r="E575" s="105"/>
      <c r="F575" s="105">
        <f>SUM(D575:E575)</f>
        <v>0</v>
      </c>
      <c r="G575" s="132"/>
      <c r="H575" s="4"/>
    </row>
    <row r="576" spans="1:8" x14ac:dyDescent="0.25">
      <c r="A576" s="129"/>
      <c r="B576" s="129" t="s">
        <v>8</v>
      </c>
      <c r="C576" s="131">
        <v>100000</v>
      </c>
      <c r="D576" s="105"/>
      <c r="E576" s="105"/>
      <c r="F576" s="105">
        <f t="shared" ref="F576:F594" si="22">SUM(D576:E576)</f>
        <v>0</v>
      </c>
      <c r="G576" s="132"/>
      <c r="H576" s="4"/>
    </row>
    <row r="577" spans="1:8" x14ac:dyDescent="0.25">
      <c r="A577" s="129"/>
      <c r="B577" s="129" t="s">
        <v>9</v>
      </c>
      <c r="C577" s="131">
        <v>100000</v>
      </c>
      <c r="D577" s="105"/>
      <c r="E577" s="105"/>
      <c r="F577" s="105">
        <f t="shared" si="22"/>
        <v>0</v>
      </c>
      <c r="G577" s="145"/>
      <c r="H577" s="4"/>
    </row>
    <row r="578" spans="1:8" x14ac:dyDescent="0.25">
      <c r="A578" s="129"/>
      <c r="B578" s="129" t="s">
        <v>10</v>
      </c>
      <c r="C578" s="131">
        <v>100000</v>
      </c>
      <c r="D578" s="105"/>
      <c r="E578" s="105"/>
      <c r="F578" s="105">
        <f t="shared" si="22"/>
        <v>0</v>
      </c>
      <c r="G578" s="145"/>
      <c r="H578" s="4"/>
    </row>
    <row r="579" spans="1:8" x14ac:dyDescent="0.25">
      <c r="A579" s="129"/>
      <c r="B579" s="129" t="s">
        <v>11</v>
      </c>
      <c r="C579" s="131">
        <v>100000</v>
      </c>
      <c r="D579" s="105"/>
      <c r="E579" s="105"/>
      <c r="F579" s="105">
        <f t="shared" si="22"/>
        <v>0</v>
      </c>
      <c r="G579" s="145"/>
      <c r="H579" s="4"/>
    </row>
    <row r="580" spans="1:8" x14ac:dyDescent="0.25">
      <c r="A580" s="129"/>
      <c r="B580" s="129" t="s">
        <v>12</v>
      </c>
      <c r="C580" s="131">
        <v>100000</v>
      </c>
      <c r="D580" s="105"/>
      <c r="E580" s="105"/>
      <c r="F580" s="105">
        <f t="shared" si="22"/>
        <v>0</v>
      </c>
      <c r="G580" s="145"/>
      <c r="H580" s="4"/>
    </row>
    <row r="581" spans="1:8" x14ac:dyDescent="0.25">
      <c r="A581" s="129"/>
      <c r="B581" s="129" t="s">
        <v>13</v>
      </c>
      <c r="C581" s="131">
        <v>100000</v>
      </c>
      <c r="D581" s="105"/>
      <c r="E581" s="105"/>
      <c r="F581" s="105">
        <f t="shared" si="22"/>
        <v>0</v>
      </c>
      <c r="G581" s="145"/>
      <c r="H581" s="4"/>
    </row>
    <row r="582" spans="1:8" x14ac:dyDescent="0.25">
      <c r="A582" s="12"/>
      <c r="B582" s="12" t="s">
        <v>14</v>
      </c>
      <c r="C582" s="13">
        <v>100000</v>
      </c>
      <c r="D582" s="105"/>
      <c r="E582" s="105"/>
      <c r="F582" s="105">
        <f t="shared" si="22"/>
        <v>0</v>
      </c>
      <c r="G582" s="14"/>
      <c r="H582" s="4"/>
    </row>
    <row r="583" spans="1:8" x14ac:dyDescent="0.25">
      <c r="A583" s="12"/>
      <c r="B583" s="12" t="s">
        <v>15</v>
      </c>
      <c r="C583" s="13">
        <v>100000</v>
      </c>
      <c r="D583" s="105"/>
      <c r="E583" s="105"/>
      <c r="F583" s="105">
        <f t="shared" si="22"/>
        <v>0</v>
      </c>
      <c r="G583" s="146"/>
      <c r="H583" s="4"/>
    </row>
    <row r="584" spans="1:8" x14ac:dyDescent="0.25">
      <c r="A584" s="12"/>
      <c r="B584" s="12" t="s">
        <v>16</v>
      </c>
      <c r="C584" s="13">
        <v>100000</v>
      </c>
      <c r="D584" s="105"/>
      <c r="E584" s="105"/>
      <c r="F584" s="105">
        <f t="shared" si="22"/>
        <v>0</v>
      </c>
      <c r="G584" s="146"/>
      <c r="H584" s="4"/>
    </row>
    <row r="585" spans="1:8" x14ac:dyDescent="0.25">
      <c r="A585" s="12"/>
      <c r="B585" s="12" t="s">
        <v>17</v>
      </c>
      <c r="C585" s="13">
        <v>100000</v>
      </c>
      <c r="D585" s="105"/>
      <c r="E585" s="105"/>
      <c r="F585" s="105">
        <f t="shared" si="22"/>
        <v>0</v>
      </c>
      <c r="G585" s="14"/>
      <c r="H585" s="4"/>
    </row>
    <row r="586" spans="1:8" x14ac:dyDescent="0.25">
      <c r="A586" s="129"/>
      <c r="B586" s="129" t="s">
        <v>18</v>
      </c>
      <c r="C586" s="131">
        <v>100000</v>
      </c>
      <c r="D586" s="105"/>
      <c r="E586" s="105"/>
      <c r="F586" s="105">
        <f t="shared" si="22"/>
        <v>0</v>
      </c>
      <c r="G586" s="145"/>
      <c r="H586" s="4"/>
    </row>
    <row r="587" spans="1:8" x14ac:dyDescent="0.25">
      <c r="A587" s="129"/>
      <c r="B587" s="129" t="s">
        <v>19</v>
      </c>
      <c r="C587" s="131">
        <v>100000</v>
      </c>
      <c r="D587" s="105"/>
      <c r="E587" s="105"/>
      <c r="F587" s="105">
        <f t="shared" si="22"/>
        <v>0</v>
      </c>
      <c r="G587" s="145"/>
      <c r="H587" s="4"/>
    </row>
    <row r="588" spans="1:8" x14ac:dyDescent="0.25">
      <c r="A588" s="129"/>
      <c r="B588" s="129" t="s">
        <v>20</v>
      </c>
      <c r="C588" s="131">
        <v>100000</v>
      </c>
      <c r="D588" s="105"/>
      <c r="E588" s="105"/>
      <c r="F588" s="105">
        <f t="shared" si="22"/>
        <v>0</v>
      </c>
      <c r="G588" s="145"/>
      <c r="H588" s="4"/>
    </row>
    <row r="589" spans="1:8" x14ac:dyDescent="0.25">
      <c r="A589" s="129"/>
      <c r="B589" s="129" t="s">
        <v>21</v>
      </c>
      <c r="C589" s="131">
        <v>100000</v>
      </c>
      <c r="D589" s="105"/>
      <c r="E589" s="105"/>
      <c r="F589" s="105">
        <f t="shared" si="22"/>
        <v>0</v>
      </c>
      <c r="G589" s="145"/>
      <c r="H589" s="4"/>
    </row>
    <row r="590" spans="1:8" x14ac:dyDescent="0.25">
      <c r="A590" s="129"/>
      <c r="B590" s="129" t="s">
        <v>22</v>
      </c>
      <c r="C590" s="131">
        <v>100000</v>
      </c>
      <c r="D590" s="105"/>
      <c r="E590" s="105"/>
      <c r="F590" s="105">
        <f t="shared" si="22"/>
        <v>0</v>
      </c>
      <c r="G590" s="145"/>
      <c r="H590" s="4"/>
    </row>
    <row r="591" spans="1:8" x14ac:dyDescent="0.25">
      <c r="A591" s="129"/>
      <c r="B591" s="129" t="s">
        <v>23</v>
      </c>
      <c r="C591" s="131">
        <v>100000</v>
      </c>
      <c r="D591" s="105"/>
      <c r="E591" s="105"/>
      <c r="F591" s="105">
        <f t="shared" si="22"/>
        <v>0</v>
      </c>
      <c r="G591" s="145"/>
      <c r="H591" s="4"/>
    </row>
    <row r="592" spans="1:8" x14ac:dyDescent="0.25">
      <c r="A592" s="129"/>
      <c r="B592" s="129" t="s">
        <v>24</v>
      </c>
      <c r="C592" s="131">
        <v>100000</v>
      </c>
      <c r="D592" s="105"/>
      <c r="E592" s="105"/>
      <c r="F592" s="105">
        <f t="shared" si="22"/>
        <v>0</v>
      </c>
      <c r="G592" s="145"/>
      <c r="H592" s="4"/>
    </row>
    <row r="593" spans="1:8" x14ac:dyDescent="0.25">
      <c r="A593" s="129"/>
      <c r="B593" s="129" t="s">
        <v>25</v>
      </c>
      <c r="C593" s="131">
        <v>100000</v>
      </c>
      <c r="D593" s="105"/>
      <c r="E593" s="105"/>
      <c r="F593" s="105">
        <f t="shared" si="22"/>
        <v>0</v>
      </c>
      <c r="G593" s="145"/>
      <c r="H593" s="4"/>
    </row>
    <row r="594" spans="1:8" ht="16.5" thickBot="1" x14ac:dyDescent="0.3">
      <c r="A594" s="129"/>
      <c r="B594" s="129" t="s">
        <v>26</v>
      </c>
      <c r="C594" s="133">
        <v>100000</v>
      </c>
      <c r="D594" s="105"/>
      <c r="E594" s="105"/>
      <c r="F594" s="105">
        <f t="shared" si="22"/>
        <v>0</v>
      </c>
      <c r="G594" s="145"/>
      <c r="H594" s="4"/>
    </row>
    <row r="595" spans="1:8" ht="16.5" thickBot="1" x14ac:dyDescent="0.3">
      <c r="A595" s="210" t="s">
        <v>183</v>
      </c>
      <c r="B595" s="211"/>
      <c r="C595" s="109">
        <f>SUM(C575:C594)</f>
        <v>2000000</v>
      </c>
      <c r="D595" s="210" t="s">
        <v>184</v>
      </c>
      <c r="E595" s="211"/>
      <c r="F595" s="134">
        <f>SUM(F575:F594)</f>
        <v>0</v>
      </c>
    </row>
    <row r="596" spans="1:8" ht="16.5" thickBot="1" x14ac:dyDescent="0.3">
      <c r="D596" s="210" t="s">
        <v>181</v>
      </c>
      <c r="E596" s="211"/>
      <c r="F596" s="115">
        <f>C595-F595</f>
        <v>2000000</v>
      </c>
    </row>
    <row r="597" spans="1:8" ht="16.5" thickBot="1" x14ac:dyDescent="0.3">
      <c r="D597" s="100"/>
      <c r="E597" s="100"/>
      <c r="F597" s="100"/>
    </row>
    <row r="598" spans="1:8" ht="16.5" thickBot="1" x14ac:dyDescent="0.3">
      <c r="A598" s="117" t="s">
        <v>70</v>
      </c>
      <c r="B598" s="118" t="s">
        <v>71</v>
      </c>
      <c r="C598" s="118" t="s">
        <v>72</v>
      </c>
      <c r="D598" s="119" t="s">
        <v>0</v>
      </c>
      <c r="E598" s="100"/>
      <c r="F598" s="100"/>
      <c r="G598" s="101"/>
    </row>
    <row r="599" spans="1:8" ht="16.5" thickBot="1" x14ac:dyDescent="0.3">
      <c r="A599" s="120" t="s">
        <v>205</v>
      </c>
      <c r="B599" s="121"/>
      <c r="C599" s="122" t="s">
        <v>206</v>
      </c>
      <c r="D599" s="123"/>
      <c r="E599" s="100"/>
      <c r="F599" s="100"/>
      <c r="G599" s="101"/>
    </row>
    <row r="600" spans="1:8" ht="16.5" thickBot="1" x14ac:dyDescent="0.3">
      <c r="A600" s="117" t="s">
        <v>1</v>
      </c>
      <c r="B600" s="118" t="s">
        <v>30</v>
      </c>
      <c r="C600" s="118" t="s">
        <v>2</v>
      </c>
      <c r="D600" s="118" t="s">
        <v>3</v>
      </c>
      <c r="E600" s="118" t="s">
        <v>4</v>
      </c>
      <c r="F600" s="103" t="s">
        <v>35</v>
      </c>
      <c r="G600" s="128" t="s">
        <v>6</v>
      </c>
    </row>
    <row r="601" spans="1:8" x14ac:dyDescent="0.25">
      <c r="A601" s="129"/>
      <c r="B601" s="129" t="s">
        <v>7</v>
      </c>
      <c r="C601" s="131">
        <v>100000</v>
      </c>
      <c r="D601" s="105"/>
      <c r="E601" s="105"/>
      <c r="F601" s="105">
        <f>SUM(D601:E601)</f>
        <v>0</v>
      </c>
      <c r="G601" s="132"/>
    </row>
    <row r="602" spans="1:8" x14ac:dyDescent="0.25">
      <c r="A602" s="129"/>
      <c r="B602" s="129" t="s">
        <v>8</v>
      </c>
      <c r="C602" s="131">
        <v>100000</v>
      </c>
      <c r="D602" s="105"/>
      <c r="E602" s="105"/>
      <c r="F602" s="105">
        <f t="shared" ref="F602:F620" si="23">SUM(D602:E602)</f>
        <v>0</v>
      </c>
      <c r="G602" s="132"/>
    </row>
    <row r="603" spans="1:8" x14ac:dyDescent="0.25">
      <c r="A603" s="129"/>
      <c r="B603" s="129" t="s">
        <v>9</v>
      </c>
      <c r="C603" s="131">
        <v>100000</v>
      </c>
      <c r="D603" s="105"/>
      <c r="E603" s="105"/>
      <c r="F603" s="105">
        <f t="shared" si="23"/>
        <v>0</v>
      </c>
      <c r="G603" s="145"/>
    </row>
    <row r="604" spans="1:8" x14ac:dyDescent="0.25">
      <c r="A604" s="129"/>
      <c r="B604" s="129" t="s">
        <v>10</v>
      </c>
      <c r="C604" s="131">
        <v>100000</v>
      </c>
      <c r="D604" s="105"/>
      <c r="E604" s="105"/>
      <c r="F604" s="105">
        <f t="shared" si="23"/>
        <v>0</v>
      </c>
      <c r="G604" s="145"/>
    </row>
    <row r="605" spans="1:8" x14ac:dyDescent="0.25">
      <c r="A605" s="129"/>
      <c r="B605" s="129" t="s">
        <v>11</v>
      </c>
      <c r="C605" s="131">
        <v>100000</v>
      </c>
      <c r="D605" s="105"/>
      <c r="E605" s="105"/>
      <c r="F605" s="105">
        <f t="shared" si="23"/>
        <v>0</v>
      </c>
      <c r="G605" s="145"/>
    </row>
    <row r="606" spans="1:8" x14ac:dyDescent="0.25">
      <c r="A606" s="129"/>
      <c r="B606" s="129" t="s">
        <v>12</v>
      </c>
      <c r="C606" s="131">
        <v>100000</v>
      </c>
      <c r="D606" s="105"/>
      <c r="E606" s="105"/>
      <c r="F606" s="105">
        <f t="shared" si="23"/>
        <v>0</v>
      </c>
      <c r="G606" s="145"/>
    </row>
    <row r="607" spans="1:8" x14ac:dyDescent="0.25">
      <c r="A607" s="129"/>
      <c r="B607" s="129" t="s">
        <v>13</v>
      </c>
      <c r="C607" s="131">
        <v>100000</v>
      </c>
      <c r="D607" s="105"/>
      <c r="E607" s="105"/>
      <c r="F607" s="105">
        <f t="shared" si="23"/>
        <v>0</v>
      </c>
      <c r="G607" s="145"/>
    </row>
    <row r="608" spans="1:8" x14ac:dyDescent="0.25">
      <c r="A608" s="12"/>
      <c r="B608" s="12" t="s">
        <v>14</v>
      </c>
      <c r="C608" s="13">
        <v>100000</v>
      </c>
      <c r="D608" s="105"/>
      <c r="E608" s="105"/>
      <c r="F608" s="105">
        <f t="shared" si="23"/>
        <v>0</v>
      </c>
      <c r="G608" s="14"/>
    </row>
    <row r="609" spans="1:8" x14ac:dyDescent="0.25">
      <c r="A609" s="12"/>
      <c r="B609" s="12" t="s">
        <v>15</v>
      </c>
      <c r="C609" s="13">
        <v>100000</v>
      </c>
      <c r="D609" s="105"/>
      <c r="E609" s="105"/>
      <c r="F609" s="105">
        <f t="shared" si="23"/>
        <v>0</v>
      </c>
      <c r="G609" s="146"/>
    </row>
    <row r="610" spans="1:8" x14ac:dyDescent="0.25">
      <c r="A610" s="12"/>
      <c r="B610" s="12" t="s">
        <v>16</v>
      </c>
      <c r="C610" s="13">
        <v>100000</v>
      </c>
      <c r="D610" s="105"/>
      <c r="E610" s="105"/>
      <c r="F610" s="105">
        <f t="shared" si="23"/>
        <v>0</v>
      </c>
      <c r="G610" s="146"/>
    </row>
    <row r="611" spans="1:8" x14ac:dyDescent="0.25">
      <c r="A611" s="12"/>
      <c r="B611" s="12" t="s">
        <v>17</v>
      </c>
      <c r="C611" s="13">
        <v>100000</v>
      </c>
      <c r="D611" s="105"/>
      <c r="E611" s="105"/>
      <c r="F611" s="105">
        <f t="shared" si="23"/>
        <v>0</v>
      </c>
      <c r="G611" s="14"/>
    </row>
    <row r="612" spans="1:8" x14ac:dyDescent="0.25">
      <c r="A612" s="129"/>
      <c r="B612" s="129" t="s">
        <v>18</v>
      </c>
      <c r="C612" s="131">
        <v>100000</v>
      </c>
      <c r="D612" s="105"/>
      <c r="E612" s="105"/>
      <c r="F612" s="105">
        <f t="shared" si="23"/>
        <v>0</v>
      </c>
      <c r="G612" s="145"/>
    </row>
    <row r="613" spans="1:8" x14ac:dyDescent="0.25">
      <c r="A613" s="129"/>
      <c r="B613" s="129" t="s">
        <v>19</v>
      </c>
      <c r="C613" s="131">
        <v>100000</v>
      </c>
      <c r="D613" s="105"/>
      <c r="E613" s="105"/>
      <c r="F613" s="105">
        <f t="shared" si="23"/>
        <v>0</v>
      </c>
      <c r="G613" s="145"/>
    </row>
    <row r="614" spans="1:8" x14ac:dyDescent="0.25">
      <c r="A614" s="129"/>
      <c r="B614" s="129" t="s">
        <v>20</v>
      </c>
      <c r="C614" s="131">
        <v>100000</v>
      </c>
      <c r="D614" s="105"/>
      <c r="E614" s="105"/>
      <c r="F614" s="105">
        <f t="shared" si="23"/>
        <v>0</v>
      </c>
      <c r="G614" s="145"/>
    </row>
    <row r="615" spans="1:8" x14ac:dyDescent="0.25">
      <c r="A615" s="129"/>
      <c r="B615" s="129" t="s">
        <v>21</v>
      </c>
      <c r="C615" s="131">
        <v>100000</v>
      </c>
      <c r="D615" s="105"/>
      <c r="E615" s="105"/>
      <c r="F615" s="105">
        <f t="shared" si="23"/>
        <v>0</v>
      </c>
      <c r="G615" s="145"/>
    </row>
    <row r="616" spans="1:8" x14ac:dyDescent="0.25">
      <c r="A616" s="129"/>
      <c r="B616" s="129" t="s">
        <v>22</v>
      </c>
      <c r="C616" s="131">
        <v>100000</v>
      </c>
      <c r="D616" s="105"/>
      <c r="E616" s="105"/>
      <c r="F616" s="105">
        <f t="shared" si="23"/>
        <v>0</v>
      </c>
      <c r="G616" s="145"/>
    </row>
    <row r="617" spans="1:8" x14ac:dyDescent="0.25">
      <c r="A617" s="129"/>
      <c r="B617" s="129" t="s">
        <v>23</v>
      </c>
      <c r="C617" s="131">
        <v>100000</v>
      </c>
      <c r="D617" s="105"/>
      <c r="E617" s="105"/>
      <c r="F617" s="105">
        <f t="shared" si="23"/>
        <v>0</v>
      </c>
      <c r="G617" s="145"/>
    </row>
    <row r="618" spans="1:8" x14ac:dyDescent="0.25">
      <c r="A618" s="129"/>
      <c r="B618" s="129" t="s">
        <v>24</v>
      </c>
      <c r="C618" s="131">
        <v>100000</v>
      </c>
      <c r="D618" s="105"/>
      <c r="E618" s="105"/>
      <c r="F618" s="105">
        <f t="shared" si="23"/>
        <v>0</v>
      </c>
      <c r="G618" s="145"/>
    </row>
    <row r="619" spans="1:8" x14ac:dyDescent="0.25">
      <c r="A619" s="129"/>
      <c r="B619" s="129" t="s">
        <v>25</v>
      </c>
      <c r="C619" s="131">
        <v>100000</v>
      </c>
      <c r="D619" s="105"/>
      <c r="E619" s="105"/>
      <c r="F619" s="105">
        <f t="shared" si="23"/>
        <v>0</v>
      </c>
      <c r="G619" s="145"/>
    </row>
    <row r="620" spans="1:8" ht="16.5" thickBot="1" x14ac:dyDescent="0.3">
      <c r="A620" s="129"/>
      <c r="B620" s="129" t="s">
        <v>26</v>
      </c>
      <c r="C620" s="133">
        <v>100000</v>
      </c>
      <c r="D620" s="105"/>
      <c r="E620" s="105"/>
      <c r="F620" s="105">
        <f t="shared" si="23"/>
        <v>0</v>
      </c>
      <c r="G620" s="145"/>
    </row>
    <row r="621" spans="1:8" ht="16.5" thickBot="1" x14ac:dyDescent="0.3">
      <c r="A621" s="210" t="s">
        <v>183</v>
      </c>
      <c r="B621" s="211"/>
      <c r="C621" s="109">
        <f>SUM(C601:C620)</f>
        <v>2000000</v>
      </c>
      <c r="D621" s="210" t="s">
        <v>184</v>
      </c>
      <c r="E621" s="211"/>
      <c r="F621" s="134">
        <f>SUM(F601:F620)</f>
        <v>0</v>
      </c>
    </row>
    <row r="622" spans="1:8" ht="16.5" thickBot="1" x14ac:dyDescent="0.3">
      <c r="D622" s="210" t="s">
        <v>181</v>
      </c>
      <c r="E622" s="211"/>
      <c r="F622" s="115">
        <f>C621-F621</f>
        <v>2000000</v>
      </c>
    </row>
    <row r="623" spans="1:8" x14ac:dyDescent="0.25">
      <c r="D623" s="100"/>
      <c r="E623" s="100"/>
      <c r="F623" s="100"/>
    </row>
    <row r="624" spans="1:8" ht="21" x14ac:dyDescent="0.35">
      <c r="A624" s="96"/>
      <c r="B624" s="96"/>
      <c r="C624" s="97" t="s">
        <v>190</v>
      </c>
      <c r="D624" s="96"/>
      <c r="E624" s="96"/>
      <c r="F624" s="96"/>
      <c r="G624" s="97"/>
      <c r="H624" s="4"/>
    </row>
    <row r="625" spans="1:7" ht="16.5" thickBot="1" x14ac:dyDescent="0.3">
      <c r="D625" s="100"/>
      <c r="E625" s="100"/>
      <c r="F625" s="100"/>
    </row>
    <row r="626" spans="1:7" ht="16.5" thickBot="1" x14ac:dyDescent="0.3">
      <c r="A626" s="117" t="s">
        <v>70</v>
      </c>
      <c r="B626" s="118" t="s">
        <v>71</v>
      </c>
      <c r="C626" s="118" t="s">
        <v>72</v>
      </c>
      <c r="D626" s="119" t="s">
        <v>0</v>
      </c>
      <c r="E626" s="100"/>
      <c r="F626" s="100"/>
      <c r="G626" s="101"/>
    </row>
    <row r="627" spans="1:7" ht="16.5" thickBot="1" x14ac:dyDescent="0.3">
      <c r="A627" s="120" t="s">
        <v>201</v>
      </c>
      <c r="B627" s="121"/>
      <c r="C627" s="122" t="s">
        <v>202</v>
      </c>
      <c r="D627" s="123"/>
      <c r="E627" s="100"/>
      <c r="F627" s="100"/>
      <c r="G627" s="101"/>
    </row>
    <row r="628" spans="1:7" ht="16.5" thickBot="1" x14ac:dyDescent="0.3">
      <c r="A628" s="117" t="s">
        <v>1</v>
      </c>
      <c r="B628" s="118" t="s">
        <v>30</v>
      </c>
      <c r="C628" s="118" t="s">
        <v>2</v>
      </c>
      <c r="D628" s="118" t="s">
        <v>3</v>
      </c>
      <c r="E628" s="118" t="s">
        <v>4</v>
      </c>
      <c r="F628" s="103" t="s">
        <v>35</v>
      </c>
      <c r="G628" s="128" t="s">
        <v>6</v>
      </c>
    </row>
    <row r="629" spans="1:7" x14ac:dyDescent="0.25">
      <c r="A629" s="129"/>
      <c r="B629" s="129" t="s">
        <v>7</v>
      </c>
      <c r="C629" s="131">
        <v>100000</v>
      </c>
      <c r="D629" s="105"/>
      <c r="E629" s="105"/>
      <c r="F629" s="105">
        <f>SUM(D629:E629)</f>
        <v>0</v>
      </c>
      <c r="G629" s="132"/>
    </row>
    <row r="630" spans="1:7" x14ac:dyDescent="0.25">
      <c r="A630" s="129"/>
      <c r="B630" s="129" t="s">
        <v>8</v>
      </c>
      <c r="C630" s="131">
        <v>100000</v>
      </c>
      <c r="D630" s="105"/>
      <c r="E630" s="105"/>
      <c r="F630" s="105">
        <f t="shared" ref="F630:F648" si="24">SUM(D630:E630)</f>
        <v>0</v>
      </c>
      <c r="G630" s="132"/>
    </row>
    <row r="631" spans="1:7" x14ac:dyDescent="0.25">
      <c r="A631" s="129"/>
      <c r="B631" s="129" t="s">
        <v>9</v>
      </c>
      <c r="C631" s="131">
        <v>100000</v>
      </c>
      <c r="D631" s="105"/>
      <c r="E631" s="105"/>
      <c r="F631" s="105">
        <f t="shared" si="24"/>
        <v>0</v>
      </c>
      <c r="G631" s="145"/>
    </row>
    <row r="632" spans="1:7" x14ac:dyDescent="0.25">
      <c r="A632" s="129"/>
      <c r="B632" s="129" t="s">
        <v>10</v>
      </c>
      <c r="C632" s="131">
        <v>100000</v>
      </c>
      <c r="D632" s="105"/>
      <c r="E632" s="105"/>
      <c r="F632" s="105">
        <f t="shared" si="24"/>
        <v>0</v>
      </c>
      <c r="G632" s="145"/>
    </row>
    <row r="633" spans="1:7" x14ac:dyDescent="0.25">
      <c r="A633" s="129"/>
      <c r="B633" s="129" t="s">
        <v>11</v>
      </c>
      <c r="C633" s="131">
        <v>100000</v>
      </c>
      <c r="D633" s="105"/>
      <c r="E633" s="105"/>
      <c r="F633" s="105">
        <f t="shared" si="24"/>
        <v>0</v>
      </c>
      <c r="G633" s="145"/>
    </row>
    <row r="634" spans="1:7" x14ac:dyDescent="0.25">
      <c r="A634" s="129"/>
      <c r="B634" s="129" t="s">
        <v>12</v>
      </c>
      <c r="C634" s="131">
        <v>100000</v>
      </c>
      <c r="D634" s="105"/>
      <c r="E634" s="105"/>
      <c r="F634" s="105">
        <f t="shared" si="24"/>
        <v>0</v>
      </c>
      <c r="G634" s="145"/>
    </row>
    <row r="635" spans="1:7" x14ac:dyDescent="0.25">
      <c r="A635" s="129"/>
      <c r="B635" s="129" t="s">
        <v>13</v>
      </c>
      <c r="C635" s="131">
        <v>100000</v>
      </c>
      <c r="D635" s="105"/>
      <c r="E635" s="105"/>
      <c r="F635" s="105">
        <f t="shared" si="24"/>
        <v>0</v>
      </c>
      <c r="G635" s="145"/>
    </row>
    <row r="636" spans="1:7" x14ac:dyDescent="0.25">
      <c r="A636" s="12"/>
      <c r="B636" s="12" t="s">
        <v>14</v>
      </c>
      <c r="C636" s="13">
        <v>100000</v>
      </c>
      <c r="D636" s="105"/>
      <c r="E636" s="105"/>
      <c r="F636" s="105">
        <f t="shared" si="24"/>
        <v>0</v>
      </c>
      <c r="G636" s="14"/>
    </row>
    <row r="637" spans="1:7" x14ac:dyDescent="0.25">
      <c r="A637" s="12"/>
      <c r="B637" s="12" t="s">
        <v>15</v>
      </c>
      <c r="C637" s="13">
        <v>100000</v>
      </c>
      <c r="D637" s="105"/>
      <c r="E637" s="105"/>
      <c r="F637" s="105">
        <f t="shared" si="24"/>
        <v>0</v>
      </c>
      <c r="G637" s="146"/>
    </row>
    <row r="638" spans="1:7" x14ac:dyDescent="0.25">
      <c r="A638" s="12"/>
      <c r="B638" s="12" t="s">
        <v>16</v>
      </c>
      <c r="C638" s="13">
        <v>100000</v>
      </c>
      <c r="D638" s="105"/>
      <c r="E638" s="105"/>
      <c r="F638" s="105">
        <f t="shared" si="24"/>
        <v>0</v>
      </c>
      <c r="G638" s="146"/>
    </row>
    <row r="639" spans="1:7" x14ac:dyDescent="0.25">
      <c r="A639" s="12"/>
      <c r="B639" s="12" t="s">
        <v>17</v>
      </c>
      <c r="C639" s="13">
        <v>100000</v>
      </c>
      <c r="D639" s="105"/>
      <c r="E639" s="105"/>
      <c r="F639" s="105">
        <f t="shared" si="24"/>
        <v>0</v>
      </c>
      <c r="G639" s="14"/>
    </row>
    <row r="640" spans="1:7" x14ac:dyDescent="0.25">
      <c r="A640" s="129"/>
      <c r="B640" s="129" t="s">
        <v>18</v>
      </c>
      <c r="C640" s="131">
        <v>100000</v>
      </c>
      <c r="D640" s="105"/>
      <c r="E640" s="105"/>
      <c r="F640" s="105">
        <f t="shared" si="24"/>
        <v>0</v>
      </c>
      <c r="G640" s="145"/>
    </row>
    <row r="641" spans="1:7" x14ac:dyDescent="0.25">
      <c r="A641" s="129"/>
      <c r="B641" s="129" t="s">
        <v>19</v>
      </c>
      <c r="C641" s="131">
        <v>100000</v>
      </c>
      <c r="D641" s="105"/>
      <c r="E641" s="105"/>
      <c r="F641" s="105">
        <f t="shared" si="24"/>
        <v>0</v>
      </c>
      <c r="G641" s="145"/>
    </row>
    <row r="642" spans="1:7" x14ac:dyDescent="0.25">
      <c r="A642" s="129"/>
      <c r="B642" s="129" t="s">
        <v>20</v>
      </c>
      <c r="C642" s="131">
        <v>100000</v>
      </c>
      <c r="D642" s="105"/>
      <c r="E642" s="105"/>
      <c r="F642" s="105">
        <f t="shared" si="24"/>
        <v>0</v>
      </c>
      <c r="G642" s="145"/>
    </row>
    <row r="643" spans="1:7" x14ac:dyDescent="0.25">
      <c r="A643" s="129"/>
      <c r="B643" s="129" t="s">
        <v>21</v>
      </c>
      <c r="C643" s="131">
        <v>100000</v>
      </c>
      <c r="D643" s="105"/>
      <c r="E643" s="105"/>
      <c r="F643" s="105">
        <f t="shared" si="24"/>
        <v>0</v>
      </c>
      <c r="G643" s="145"/>
    </row>
    <row r="644" spans="1:7" x14ac:dyDescent="0.25">
      <c r="A644" s="129"/>
      <c r="B644" s="129" t="s">
        <v>22</v>
      </c>
      <c r="C644" s="131">
        <v>100000</v>
      </c>
      <c r="D644" s="105"/>
      <c r="E644" s="105"/>
      <c r="F644" s="105">
        <f t="shared" si="24"/>
        <v>0</v>
      </c>
      <c r="G644" s="145"/>
    </row>
    <row r="645" spans="1:7" x14ac:dyDescent="0.25">
      <c r="A645" s="129"/>
      <c r="B645" s="129" t="s">
        <v>23</v>
      </c>
      <c r="C645" s="131">
        <v>100000</v>
      </c>
      <c r="D645" s="105"/>
      <c r="E645" s="105"/>
      <c r="F645" s="105">
        <f t="shared" si="24"/>
        <v>0</v>
      </c>
      <c r="G645" s="145"/>
    </row>
    <row r="646" spans="1:7" x14ac:dyDescent="0.25">
      <c r="A646" s="129"/>
      <c r="B646" s="129" t="s">
        <v>24</v>
      </c>
      <c r="C646" s="131">
        <v>100000</v>
      </c>
      <c r="D646" s="105"/>
      <c r="E646" s="105"/>
      <c r="F646" s="105">
        <f t="shared" si="24"/>
        <v>0</v>
      </c>
      <c r="G646" s="145"/>
    </row>
    <row r="647" spans="1:7" x14ac:dyDescent="0.25">
      <c r="A647" s="129"/>
      <c r="B647" s="129" t="s">
        <v>25</v>
      </c>
      <c r="C647" s="131">
        <v>100000</v>
      </c>
      <c r="D647" s="105"/>
      <c r="E647" s="105"/>
      <c r="F647" s="105">
        <f t="shared" si="24"/>
        <v>0</v>
      </c>
      <c r="G647" s="145"/>
    </row>
    <row r="648" spans="1:7" ht="16.5" thickBot="1" x14ac:dyDescent="0.3">
      <c r="A648" s="129"/>
      <c r="B648" s="129" t="s">
        <v>26</v>
      </c>
      <c r="C648" s="133">
        <v>100000</v>
      </c>
      <c r="D648" s="105"/>
      <c r="E648" s="105"/>
      <c r="F648" s="105">
        <f t="shared" si="24"/>
        <v>0</v>
      </c>
      <c r="G648" s="145"/>
    </row>
    <row r="649" spans="1:7" ht="16.5" thickBot="1" x14ac:dyDescent="0.3">
      <c r="A649" s="210" t="s">
        <v>183</v>
      </c>
      <c r="B649" s="211"/>
      <c r="C649" s="109">
        <f>SUM(C629:C648)</f>
        <v>2000000</v>
      </c>
      <c r="D649" s="210" t="s">
        <v>184</v>
      </c>
      <c r="E649" s="211"/>
      <c r="F649" s="134">
        <f>SUM(F629:F648)</f>
        <v>0</v>
      </c>
    </row>
    <row r="650" spans="1:7" ht="16.5" thickBot="1" x14ac:dyDescent="0.3">
      <c r="D650" s="210" t="s">
        <v>181</v>
      </c>
      <c r="E650" s="211"/>
      <c r="F650" s="115">
        <f>C649-F649</f>
        <v>2000000</v>
      </c>
    </row>
    <row r="651" spans="1:7" ht="16.5" thickBot="1" x14ac:dyDescent="0.3"/>
    <row r="652" spans="1:7" ht="16.5" thickBot="1" x14ac:dyDescent="0.3">
      <c r="A652" s="117" t="s">
        <v>70</v>
      </c>
      <c r="B652" s="118" t="s">
        <v>71</v>
      </c>
      <c r="C652" s="118" t="s">
        <v>72</v>
      </c>
      <c r="D652" s="119" t="s">
        <v>0</v>
      </c>
      <c r="E652" s="100"/>
      <c r="F652" s="100"/>
      <c r="G652" s="101"/>
    </row>
    <row r="653" spans="1:7" ht="16.5" thickBot="1" x14ac:dyDescent="0.3">
      <c r="A653" s="120" t="s">
        <v>203</v>
      </c>
      <c r="B653" s="121"/>
      <c r="C653" s="122" t="s">
        <v>204</v>
      </c>
      <c r="D653" s="123"/>
      <c r="E653" s="100"/>
      <c r="F653" s="100"/>
      <c r="G653" s="101"/>
    </row>
    <row r="654" spans="1:7" ht="16.5" thickBot="1" x14ac:dyDescent="0.3">
      <c r="A654" s="117" t="s">
        <v>1</v>
      </c>
      <c r="B654" s="118" t="s">
        <v>30</v>
      </c>
      <c r="C654" s="118" t="s">
        <v>2</v>
      </c>
      <c r="D654" s="118" t="s">
        <v>3</v>
      </c>
      <c r="E654" s="118" t="s">
        <v>4</v>
      </c>
      <c r="F654" s="103" t="s">
        <v>35</v>
      </c>
      <c r="G654" s="128" t="s">
        <v>6</v>
      </c>
    </row>
    <row r="655" spans="1:7" x14ac:dyDescent="0.25">
      <c r="A655" s="129"/>
      <c r="B655" s="129" t="s">
        <v>7</v>
      </c>
      <c r="C655" s="131">
        <v>100000</v>
      </c>
      <c r="D655" s="105"/>
      <c r="E655" s="105"/>
      <c r="F655" s="105">
        <f>SUM(D655:E655)</f>
        <v>0</v>
      </c>
      <c r="G655" s="132"/>
    </row>
    <row r="656" spans="1:7" x14ac:dyDescent="0.25">
      <c r="A656" s="129"/>
      <c r="B656" s="129" t="s">
        <v>8</v>
      </c>
      <c r="C656" s="131">
        <v>100000</v>
      </c>
      <c r="D656" s="105"/>
      <c r="E656" s="105"/>
      <c r="F656" s="105">
        <f t="shared" ref="F656:F674" si="25">SUM(D656:E656)</f>
        <v>0</v>
      </c>
      <c r="G656" s="132"/>
    </row>
    <row r="657" spans="1:7" x14ac:dyDescent="0.25">
      <c r="A657" s="129"/>
      <c r="B657" s="129" t="s">
        <v>9</v>
      </c>
      <c r="C657" s="131">
        <v>100000</v>
      </c>
      <c r="D657" s="105"/>
      <c r="E657" s="105"/>
      <c r="F657" s="105">
        <f t="shared" si="25"/>
        <v>0</v>
      </c>
      <c r="G657" s="145"/>
    </row>
    <row r="658" spans="1:7" x14ac:dyDescent="0.25">
      <c r="A658" s="129"/>
      <c r="B658" s="129" t="s">
        <v>10</v>
      </c>
      <c r="C658" s="131">
        <v>100000</v>
      </c>
      <c r="D658" s="105"/>
      <c r="E658" s="105"/>
      <c r="F658" s="105">
        <f t="shared" si="25"/>
        <v>0</v>
      </c>
      <c r="G658" s="145"/>
    </row>
    <row r="659" spans="1:7" x14ac:dyDescent="0.25">
      <c r="A659" s="129"/>
      <c r="B659" s="129" t="s">
        <v>11</v>
      </c>
      <c r="C659" s="131">
        <v>100000</v>
      </c>
      <c r="D659" s="105"/>
      <c r="E659" s="105"/>
      <c r="F659" s="105">
        <f t="shared" si="25"/>
        <v>0</v>
      </c>
      <c r="G659" s="145"/>
    </row>
    <row r="660" spans="1:7" x14ac:dyDescent="0.25">
      <c r="A660" s="129"/>
      <c r="B660" s="129" t="s">
        <v>12</v>
      </c>
      <c r="C660" s="131">
        <v>100000</v>
      </c>
      <c r="D660" s="105"/>
      <c r="E660" s="105"/>
      <c r="F660" s="105">
        <f t="shared" si="25"/>
        <v>0</v>
      </c>
      <c r="G660" s="145"/>
    </row>
    <row r="661" spans="1:7" x14ac:dyDescent="0.25">
      <c r="A661" s="129"/>
      <c r="B661" s="129" t="s">
        <v>13</v>
      </c>
      <c r="C661" s="131">
        <v>100000</v>
      </c>
      <c r="D661" s="105"/>
      <c r="E661" s="105"/>
      <c r="F661" s="105">
        <f t="shared" si="25"/>
        <v>0</v>
      </c>
      <c r="G661" s="145"/>
    </row>
    <row r="662" spans="1:7" x14ac:dyDescent="0.25">
      <c r="A662" s="12"/>
      <c r="B662" s="12" t="s">
        <v>14</v>
      </c>
      <c r="C662" s="13">
        <v>100000</v>
      </c>
      <c r="D662" s="105"/>
      <c r="E662" s="105"/>
      <c r="F662" s="105">
        <f t="shared" si="25"/>
        <v>0</v>
      </c>
      <c r="G662" s="14"/>
    </row>
    <row r="663" spans="1:7" x14ac:dyDescent="0.25">
      <c r="A663" s="12"/>
      <c r="B663" s="12" t="s">
        <v>15</v>
      </c>
      <c r="C663" s="13">
        <v>100000</v>
      </c>
      <c r="D663" s="105"/>
      <c r="E663" s="105"/>
      <c r="F663" s="105">
        <f t="shared" si="25"/>
        <v>0</v>
      </c>
      <c r="G663" s="146"/>
    </row>
    <row r="664" spans="1:7" x14ac:dyDescent="0.25">
      <c r="A664" s="12"/>
      <c r="B664" s="12" t="s">
        <v>16</v>
      </c>
      <c r="C664" s="13">
        <v>100000</v>
      </c>
      <c r="D664" s="105"/>
      <c r="E664" s="105"/>
      <c r="F664" s="105">
        <f t="shared" si="25"/>
        <v>0</v>
      </c>
      <c r="G664" s="146"/>
    </row>
    <row r="665" spans="1:7" x14ac:dyDescent="0.25">
      <c r="A665" s="12"/>
      <c r="B665" s="12" t="s">
        <v>17</v>
      </c>
      <c r="C665" s="13">
        <v>100000</v>
      </c>
      <c r="D665" s="105"/>
      <c r="E665" s="105"/>
      <c r="F665" s="105">
        <f t="shared" si="25"/>
        <v>0</v>
      </c>
      <c r="G665" s="14"/>
    </row>
    <row r="666" spans="1:7" x14ac:dyDescent="0.25">
      <c r="A666" s="129"/>
      <c r="B666" s="129" t="s">
        <v>18</v>
      </c>
      <c r="C666" s="131">
        <v>100000</v>
      </c>
      <c r="D666" s="105"/>
      <c r="E666" s="105"/>
      <c r="F666" s="105">
        <f t="shared" si="25"/>
        <v>0</v>
      </c>
      <c r="G666" s="145"/>
    </row>
    <row r="667" spans="1:7" x14ac:dyDescent="0.25">
      <c r="A667" s="129"/>
      <c r="B667" s="129" t="s">
        <v>19</v>
      </c>
      <c r="C667" s="131">
        <v>100000</v>
      </c>
      <c r="D667" s="105"/>
      <c r="E667" s="105"/>
      <c r="F667" s="105">
        <f t="shared" si="25"/>
        <v>0</v>
      </c>
      <c r="G667" s="145"/>
    </row>
    <row r="668" spans="1:7" x14ac:dyDescent="0.25">
      <c r="A668" s="129"/>
      <c r="B668" s="129" t="s">
        <v>20</v>
      </c>
      <c r="C668" s="131">
        <v>100000</v>
      </c>
      <c r="D668" s="105"/>
      <c r="E668" s="105"/>
      <c r="F668" s="105">
        <f t="shared" si="25"/>
        <v>0</v>
      </c>
      <c r="G668" s="145"/>
    </row>
    <row r="669" spans="1:7" x14ac:dyDescent="0.25">
      <c r="A669" s="129"/>
      <c r="B669" s="129" t="s">
        <v>21</v>
      </c>
      <c r="C669" s="131">
        <v>100000</v>
      </c>
      <c r="D669" s="105"/>
      <c r="E669" s="105"/>
      <c r="F669" s="105">
        <f t="shared" si="25"/>
        <v>0</v>
      </c>
      <c r="G669" s="145"/>
    </row>
    <row r="670" spans="1:7" x14ac:dyDescent="0.25">
      <c r="A670" s="129"/>
      <c r="B670" s="129" t="s">
        <v>22</v>
      </c>
      <c r="C670" s="131">
        <v>100000</v>
      </c>
      <c r="D670" s="105"/>
      <c r="E670" s="105"/>
      <c r="F670" s="105">
        <f t="shared" si="25"/>
        <v>0</v>
      </c>
      <c r="G670" s="145"/>
    </row>
    <row r="671" spans="1:7" x14ac:dyDescent="0.25">
      <c r="A671" s="129"/>
      <c r="B671" s="129" t="s">
        <v>23</v>
      </c>
      <c r="C671" s="131">
        <v>100000</v>
      </c>
      <c r="D671" s="105"/>
      <c r="E671" s="105"/>
      <c r="F671" s="105">
        <f t="shared" si="25"/>
        <v>0</v>
      </c>
      <c r="G671" s="145"/>
    </row>
    <row r="672" spans="1:7" x14ac:dyDescent="0.25">
      <c r="A672" s="129"/>
      <c r="B672" s="129" t="s">
        <v>24</v>
      </c>
      <c r="C672" s="131">
        <v>100000</v>
      </c>
      <c r="D672" s="105"/>
      <c r="E672" s="105"/>
      <c r="F672" s="105">
        <f t="shared" si="25"/>
        <v>0</v>
      </c>
      <c r="G672" s="145"/>
    </row>
    <row r="673" spans="1:7" x14ac:dyDescent="0.25">
      <c r="A673" s="129"/>
      <c r="B673" s="129" t="s">
        <v>25</v>
      </c>
      <c r="C673" s="131">
        <v>100000</v>
      </c>
      <c r="D673" s="105"/>
      <c r="E673" s="105"/>
      <c r="F673" s="105">
        <f t="shared" si="25"/>
        <v>0</v>
      </c>
      <c r="G673" s="145"/>
    </row>
    <row r="674" spans="1:7" ht="16.5" thickBot="1" x14ac:dyDescent="0.3">
      <c r="A674" s="129"/>
      <c r="B674" s="129" t="s">
        <v>26</v>
      </c>
      <c r="C674" s="133">
        <v>100000</v>
      </c>
      <c r="D674" s="105"/>
      <c r="E674" s="105"/>
      <c r="F674" s="105">
        <f t="shared" si="25"/>
        <v>0</v>
      </c>
      <c r="G674" s="145"/>
    </row>
    <row r="675" spans="1:7" ht="16.5" thickBot="1" x14ac:dyDescent="0.3">
      <c r="A675" s="210" t="s">
        <v>183</v>
      </c>
      <c r="B675" s="211"/>
      <c r="C675" s="109">
        <f>SUM(C655:C674)</f>
        <v>2000000</v>
      </c>
      <c r="D675" s="210" t="s">
        <v>184</v>
      </c>
      <c r="E675" s="211"/>
      <c r="F675" s="134">
        <f>SUM(F655:F674)</f>
        <v>0</v>
      </c>
    </row>
    <row r="676" spans="1:7" ht="16.5" thickBot="1" x14ac:dyDescent="0.3">
      <c r="D676" s="210" t="s">
        <v>181</v>
      </c>
      <c r="E676" s="211"/>
      <c r="F676" s="115">
        <f>C675-F675</f>
        <v>2000000</v>
      </c>
    </row>
    <row r="678" spans="1:7" x14ac:dyDescent="0.25">
      <c r="A678" s="99" t="s">
        <v>284</v>
      </c>
      <c r="B678" s="99" t="s">
        <v>285</v>
      </c>
    </row>
    <row r="679" spans="1:7" x14ac:dyDescent="0.25">
      <c r="A679" s="99" t="s">
        <v>286</v>
      </c>
      <c r="B679" s="99" t="s">
        <v>287</v>
      </c>
    </row>
  </sheetData>
  <mergeCells count="72">
    <mergeCell ref="D566:E566"/>
    <mergeCell ref="D567:E567"/>
    <mergeCell ref="D595:E595"/>
    <mergeCell ref="D596:E596"/>
    <mergeCell ref="D482:E482"/>
    <mergeCell ref="D509:E509"/>
    <mergeCell ref="D510:E510"/>
    <mergeCell ref="D538:E538"/>
    <mergeCell ref="D539:E539"/>
    <mergeCell ref="D424:E424"/>
    <mergeCell ref="D425:E425"/>
    <mergeCell ref="D452:E452"/>
    <mergeCell ref="D453:E453"/>
    <mergeCell ref="D481:E481"/>
    <mergeCell ref="D332:E332"/>
    <mergeCell ref="D369:E369"/>
    <mergeCell ref="D370:E370"/>
    <mergeCell ref="D395:E395"/>
    <mergeCell ref="D396:E396"/>
    <mergeCell ref="D274:E274"/>
    <mergeCell ref="D275:E275"/>
    <mergeCell ref="D303:E303"/>
    <mergeCell ref="D304:E304"/>
    <mergeCell ref="D331:E331"/>
    <mergeCell ref="D195:E195"/>
    <mergeCell ref="D222:E222"/>
    <mergeCell ref="D223:E223"/>
    <mergeCell ref="D255:E255"/>
    <mergeCell ref="D256:E256"/>
    <mergeCell ref="A566:B566"/>
    <mergeCell ref="A595:B595"/>
    <mergeCell ref="D27:E27"/>
    <mergeCell ref="D28:E28"/>
    <mergeCell ref="D52:E52"/>
    <mergeCell ref="D51:E51"/>
    <mergeCell ref="D80:E80"/>
    <mergeCell ref="D81:E81"/>
    <mergeCell ref="D108:E108"/>
    <mergeCell ref="D109:E109"/>
    <mergeCell ref="D137:E137"/>
    <mergeCell ref="D138:E138"/>
    <mergeCell ref="D165:E165"/>
    <mergeCell ref="D166:E166"/>
    <mergeCell ref="D194:E194"/>
    <mergeCell ref="A424:B424"/>
    <mergeCell ref="A481:B481"/>
    <mergeCell ref="A509:B509"/>
    <mergeCell ref="A538:B538"/>
    <mergeCell ref="A274:B274"/>
    <mergeCell ref="A303:B303"/>
    <mergeCell ref="A331:B331"/>
    <mergeCell ref="A369:B369"/>
    <mergeCell ref="A395:B395"/>
    <mergeCell ref="A165:B165"/>
    <mergeCell ref="A194:B194"/>
    <mergeCell ref="A222:B222"/>
    <mergeCell ref="A255:B255"/>
    <mergeCell ref="A452:B452"/>
    <mergeCell ref="A27:B27"/>
    <mergeCell ref="A51:B51"/>
    <mergeCell ref="A80:B80"/>
    <mergeCell ref="A108:B108"/>
    <mergeCell ref="A137:B137"/>
    <mergeCell ref="D676:E676"/>
    <mergeCell ref="A621:B621"/>
    <mergeCell ref="D621:E621"/>
    <mergeCell ref="D622:E622"/>
    <mergeCell ref="A649:B649"/>
    <mergeCell ref="D649:E649"/>
    <mergeCell ref="D650:E650"/>
    <mergeCell ref="A675:B675"/>
    <mergeCell ref="D675:E675"/>
  </mergeCells>
  <phoneticPr fontId="3" type="noConversion"/>
  <conditionalFormatting sqref="A404:F423 F405:F426">
    <cfRule type="expression" dxfId="43" priority="42">
      <formula>$G404="NO CONCRETADO"</formula>
    </cfRule>
    <cfRule type="expression" dxfId="42" priority="43">
      <formula>$G404="AVANZANDO"</formula>
    </cfRule>
    <cfRule type="expression" dxfId="41" priority="44">
      <formula>$G404="COMPLETO"</formula>
    </cfRule>
  </conditionalFormatting>
  <conditionalFormatting sqref="A461:F480">
    <cfRule type="expression" dxfId="40" priority="39">
      <formula>$G461="NO CONCRETADO"</formula>
    </cfRule>
    <cfRule type="expression" dxfId="39" priority="40">
      <formula>$G461="AVANZANDO"</formula>
    </cfRule>
    <cfRule type="expression" dxfId="38" priority="41">
      <formula>$G461="COMPLETO"</formula>
    </cfRule>
  </conditionalFormatting>
  <conditionalFormatting sqref="A489:F508">
    <cfRule type="expression" dxfId="37" priority="36">
      <formula>$G489="NO CONCRETADO"</formula>
    </cfRule>
    <cfRule type="expression" dxfId="36" priority="37">
      <formula>$G489="AVANZANDO"</formula>
    </cfRule>
    <cfRule type="expression" dxfId="35" priority="38">
      <formula>$G489="COMPLETO"</formula>
    </cfRule>
  </conditionalFormatting>
  <conditionalFormatting sqref="A518:F537">
    <cfRule type="expression" dxfId="34" priority="33">
      <formula>$G518="NO CONCRETADO"</formula>
    </cfRule>
    <cfRule type="expression" dxfId="33" priority="34">
      <formula>$G518="AVANZANDO"</formula>
    </cfRule>
    <cfRule type="expression" dxfId="32" priority="35">
      <formula>$G518="COMPLETO"</formula>
    </cfRule>
  </conditionalFormatting>
  <conditionalFormatting sqref="A546:F565">
    <cfRule type="expression" dxfId="31" priority="30">
      <formula>$G546="NO CONCRETADO"</formula>
    </cfRule>
    <cfRule type="expression" dxfId="30" priority="31">
      <formula>$G546="AVANZANDO"</formula>
    </cfRule>
    <cfRule type="expression" dxfId="29" priority="32">
      <formula>$G546="COMPLETO"</formula>
    </cfRule>
  </conditionalFormatting>
  <conditionalFormatting sqref="A575:F594">
    <cfRule type="expression" dxfId="28" priority="27">
      <formula>$G575="NO CONCRETADO"</formula>
    </cfRule>
    <cfRule type="expression" dxfId="27" priority="28">
      <formula>$G575="AVANZANDO"</formula>
    </cfRule>
    <cfRule type="expression" dxfId="26" priority="29">
      <formula>$G575="COMPLETO"</formula>
    </cfRule>
  </conditionalFormatting>
  <conditionalFormatting sqref="A7:G26 A399:G425 A335:G397">
    <cfRule type="expression" dxfId="25" priority="21">
      <formula>$G7="PAGADO"</formula>
    </cfRule>
  </conditionalFormatting>
  <conditionalFormatting sqref="A35:G50">
    <cfRule type="expression" dxfId="24" priority="20">
      <formula>$G35="PAGADO"</formula>
    </cfRule>
  </conditionalFormatting>
  <conditionalFormatting sqref="A60:G79">
    <cfRule type="expression" dxfId="23" priority="19">
      <formula>$G60="PAGADO"</formula>
    </cfRule>
  </conditionalFormatting>
  <conditionalFormatting sqref="A88:G107">
    <cfRule type="expression" dxfId="22" priority="18">
      <formula>$G88="PAGADO"</formula>
    </cfRule>
  </conditionalFormatting>
  <conditionalFormatting sqref="A117:G136">
    <cfRule type="expression" dxfId="21" priority="17">
      <formula>$G117="PAGADO"</formula>
    </cfRule>
  </conditionalFormatting>
  <conditionalFormatting sqref="A145:G164">
    <cfRule type="expression" dxfId="20" priority="16">
      <formula>$G145="PAGADO"</formula>
    </cfRule>
  </conditionalFormatting>
  <conditionalFormatting sqref="A174:G193">
    <cfRule type="expression" dxfId="19" priority="15">
      <formula>$G174="PAGADO"</formula>
    </cfRule>
  </conditionalFormatting>
  <conditionalFormatting sqref="A202:G221">
    <cfRule type="expression" dxfId="18" priority="14">
      <formula>$G202="PAGADO"</formula>
    </cfRule>
  </conditionalFormatting>
  <conditionalFormatting sqref="A231:G256 A260:G275 A280:G332 A276:C276 F276:G276 A333:C333 G333 A257:C259 A427:G454 A426:C426 F426:G426 A570:G594 F278:G279 A278:C279 A456:G511 A513:G568">
    <cfRule type="expression" dxfId="17" priority="13">
      <formula>$G231="PAGADO"</formula>
    </cfRule>
  </conditionalFormatting>
  <conditionalFormatting sqref="A629:F648">
    <cfRule type="expression" dxfId="16" priority="10">
      <formula>$G629="NO CONCRETADO"</formula>
    </cfRule>
    <cfRule type="expression" dxfId="15" priority="11">
      <formula>$G629="AVANZANDO"</formula>
    </cfRule>
    <cfRule type="expression" dxfId="14" priority="12">
      <formula>$G629="COMPLETO"</formula>
    </cfRule>
  </conditionalFormatting>
  <conditionalFormatting sqref="A626:G648">
    <cfRule type="expression" dxfId="13" priority="9">
      <formula>$G626="PAGADO"</formula>
    </cfRule>
  </conditionalFormatting>
  <conditionalFormatting sqref="A655:F674">
    <cfRule type="expression" dxfId="12" priority="6">
      <formula>$G655="NO CONCRETADO"</formula>
    </cfRule>
    <cfRule type="expression" dxfId="11" priority="7">
      <formula>$G655="AVANZANDO"</formula>
    </cfRule>
    <cfRule type="expression" dxfId="10" priority="8">
      <formula>$G655="COMPLETO"</formula>
    </cfRule>
  </conditionalFormatting>
  <conditionalFormatting sqref="A652:G674">
    <cfRule type="expression" dxfId="9" priority="5">
      <formula>$G652="PAGADO"</formula>
    </cfRule>
  </conditionalFormatting>
  <conditionalFormatting sqref="A601:F620">
    <cfRule type="expression" dxfId="8" priority="2">
      <formula>$G601="NO CONCRETADO"</formula>
    </cfRule>
    <cfRule type="expression" dxfId="7" priority="3">
      <formula>$G601="AVANZANDO"</formula>
    </cfRule>
    <cfRule type="expression" dxfId="6" priority="4">
      <formula>$G601="COMPLETO"</formula>
    </cfRule>
  </conditionalFormatting>
  <conditionalFormatting sqref="A598:G620">
    <cfRule type="expression" dxfId="5" priority="1">
      <formula>$G598="PAGADO"</formula>
    </cfRule>
  </conditionalFormatting>
  <dataValidations count="1">
    <dataValidation type="list" allowBlank="1" showInputMessage="1" showErrorMessage="1" sqref="G7:G26 G35:G50 G60:G79 G88:G107 G117:G136 G145:G164 G174:G193 G202:G221 G231:G254 G263:G273 G283:G302 G311:G330 G339:G368 G375:G394 G404:G423 G432:G451 G461:G480 G489:G508 G518:G537 G546:G565 G575:G594 G629:G648 G655:G674 G601:G620" xr:uid="{00000000-0002-0000-0200-000000000000}">
      <formula1>$I$1</formula1>
    </dataValidation>
  </dataValidations>
  <pageMargins left="0.7" right="0.7" top="0.75" bottom="0.75" header="0.3" footer="0.3"/>
  <pageSetup paperSize="5" scale="91" fitToHeight="0" orientation="portrait" r:id="rId1"/>
  <rowBreaks count="11" manualBreakCount="11">
    <brk id="53" max="6" man="1"/>
    <brk id="110" max="6" man="1"/>
    <brk id="167" max="6" man="1"/>
    <brk id="224" max="6" man="1"/>
    <brk id="276" max="6" man="1"/>
    <brk id="333" max="6" man="1"/>
    <brk id="397" max="6" man="1"/>
    <brk id="454" max="6" man="1"/>
    <brk id="511" max="6" man="1"/>
    <brk id="568" max="6" man="1"/>
    <brk id="623" max="6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M11"/>
  <sheetViews>
    <sheetView zoomScaleNormal="100" workbookViewId="0">
      <selection activeCell="K2" sqref="K2"/>
    </sheetView>
  </sheetViews>
  <sheetFormatPr baseColWidth="10" defaultRowHeight="15" x14ac:dyDescent="0.25"/>
  <cols>
    <col min="1" max="1" width="10.85546875" bestFit="1" customWidth="1"/>
    <col min="2" max="2" width="6.85546875" customWidth="1"/>
    <col min="3" max="3" width="12.85546875" customWidth="1"/>
    <col min="4" max="4" width="11.7109375" customWidth="1"/>
    <col min="5" max="5" width="10.7109375" style="75" customWidth="1"/>
    <col min="6" max="6" width="11.7109375" customWidth="1"/>
    <col min="7" max="7" width="10.7109375" style="75" customWidth="1"/>
    <col min="8" max="8" width="11.7109375" customWidth="1"/>
    <col min="9" max="9" width="10.7109375" style="75" customWidth="1"/>
    <col min="10" max="10" width="12.7109375" customWidth="1"/>
    <col min="11" max="11" width="13.7109375" customWidth="1"/>
    <col min="12" max="12" width="14.28515625" customWidth="1"/>
  </cols>
  <sheetData>
    <row r="1" spans="1:13" ht="21.75" customHeight="1" thickBot="1" x14ac:dyDescent="0.4">
      <c r="A1" s="209" t="s">
        <v>195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M1" s="147" t="s">
        <v>31</v>
      </c>
    </row>
    <row r="4" spans="1:13" ht="15.75" thickBot="1" x14ac:dyDescent="0.3"/>
    <row r="5" spans="1:13" ht="15.75" thickBot="1" x14ac:dyDescent="0.3">
      <c r="A5" s="63" t="s">
        <v>176</v>
      </c>
      <c r="B5" s="64" t="s">
        <v>182</v>
      </c>
      <c r="C5" s="65" t="s">
        <v>2</v>
      </c>
      <c r="D5" s="65" t="s">
        <v>32</v>
      </c>
      <c r="E5" s="148" t="s">
        <v>0</v>
      </c>
      <c r="F5" s="65" t="s">
        <v>33</v>
      </c>
      <c r="G5" s="148" t="s">
        <v>0</v>
      </c>
      <c r="H5" s="65" t="s">
        <v>34</v>
      </c>
      <c r="I5" s="151" t="s">
        <v>0</v>
      </c>
      <c r="J5" s="66" t="s">
        <v>35</v>
      </c>
      <c r="K5" s="67" t="s">
        <v>6</v>
      </c>
      <c r="L5" s="62" t="s">
        <v>5</v>
      </c>
    </row>
    <row r="6" spans="1:13" x14ac:dyDescent="0.25">
      <c r="A6" s="71" t="s">
        <v>197</v>
      </c>
      <c r="B6" s="70">
        <v>7</v>
      </c>
      <c r="C6" s="68">
        <v>2000000</v>
      </c>
      <c r="D6" s="69">
        <v>1000000</v>
      </c>
      <c r="E6" s="149">
        <v>44125</v>
      </c>
      <c r="F6" s="69"/>
      <c r="G6" s="149"/>
      <c r="H6" s="69"/>
      <c r="I6" s="149"/>
      <c r="J6" s="68">
        <f>SUM(D6,F6,H6)</f>
        <v>1000000</v>
      </c>
      <c r="K6" s="86"/>
      <c r="L6" s="87">
        <f t="shared" ref="L6:L7" si="0">C6-J6</f>
        <v>1000000</v>
      </c>
    </row>
    <row r="7" spans="1:13" ht="15.75" thickBot="1" x14ac:dyDescent="0.3">
      <c r="A7" s="89" t="s">
        <v>198</v>
      </c>
      <c r="B7" s="90">
        <v>8</v>
      </c>
      <c r="C7" s="91">
        <v>1800000</v>
      </c>
      <c r="D7" s="69">
        <v>1000000</v>
      </c>
      <c r="E7" s="149">
        <v>44106</v>
      </c>
      <c r="F7" s="69"/>
      <c r="G7" s="149"/>
      <c r="H7" s="93"/>
      <c r="I7" s="152"/>
      <c r="J7" s="91">
        <f t="shared" ref="J7" si="1">SUM(D7,F7,H7)</f>
        <v>1000000</v>
      </c>
      <c r="K7" s="86"/>
      <c r="L7" s="88">
        <f t="shared" si="0"/>
        <v>800000</v>
      </c>
    </row>
    <row r="8" spans="1:13" ht="15.75" thickBot="1" x14ac:dyDescent="0.3">
      <c r="A8" s="212" t="s">
        <v>189</v>
      </c>
      <c r="B8" s="213"/>
      <c r="C8" s="92">
        <f>SUM(C6:C7)</f>
        <v>3800000</v>
      </c>
      <c r="H8" s="212" t="s">
        <v>184</v>
      </c>
      <c r="I8" s="213"/>
      <c r="J8" s="92">
        <f>SUM(J6:J7)</f>
        <v>2000000</v>
      </c>
    </row>
    <row r="10" spans="1:13" ht="15.75" thickBot="1" x14ac:dyDescent="0.3"/>
    <row r="11" spans="1:13" ht="15.75" thickBot="1" x14ac:dyDescent="0.3">
      <c r="G11" s="150"/>
    </row>
  </sheetData>
  <mergeCells count="3">
    <mergeCell ref="A8:B8"/>
    <mergeCell ref="H8:I8"/>
    <mergeCell ref="A1:K1"/>
  </mergeCells>
  <conditionalFormatting sqref="A6:L7">
    <cfRule type="expression" dxfId="4" priority="1">
      <formula>$K6="PAGADO"</formula>
    </cfRule>
  </conditionalFormatting>
  <dataValidations count="1">
    <dataValidation type="list" allowBlank="1" showInputMessage="1" showErrorMessage="1" sqref="M1 K6:K7" xr:uid="{00000000-0002-0000-0300-000000000000}">
      <formula1>$M$1</formula1>
    </dataValidation>
  </dataValidations>
  <pageMargins left="0.59375" right="0.25" top="0.75" bottom="0.75" header="0.3" footer="0.3"/>
  <pageSetup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L6"/>
  <sheetViews>
    <sheetView zoomScaleNormal="100" workbookViewId="0">
      <selection activeCell="M10" sqref="M10"/>
    </sheetView>
  </sheetViews>
  <sheetFormatPr baseColWidth="10" defaultRowHeight="15" x14ac:dyDescent="0.25"/>
  <cols>
    <col min="1" max="1" width="10.42578125" style="4" customWidth="1"/>
    <col min="2" max="2" width="20.5703125" style="4" customWidth="1"/>
    <col min="3" max="3" width="16.42578125" style="4" customWidth="1"/>
    <col min="4" max="4" width="12.140625" style="4" customWidth="1"/>
    <col min="5" max="5" width="10.42578125" style="4" bestFit="1" customWidth="1"/>
    <col min="6" max="6" width="12" style="4" bestFit="1" customWidth="1"/>
    <col min="7" max="7" width="8" style="4" bestFit="1" customWidth="1"/>
    <col min="8" max="8" width="12" style="4" bestFit="1" customWidth="1"/>
    <col min="9" max="9" width="10.28515625" style="4" bestFit="1" customWidth="1"/>
    <col min="10" max="10" width="12" style="4" bestFit="1" customWidth="1"/>
  </cols>
  <sheetData>
    <row r="1" spans="1:12" ht="19.5" customHeight="1" thickBot="1" x14ac:dyDescent="0.4">
      <c r="A1" s="214" t="s">
        <v>188</v>
      </c>
      <c r="B1" s="215"/>
      <c r="C1" s="215"/>
      <c r="D1" s="215"/>
      <c r="E1" s="215"/>
      <c r="F1" s="215"/>
      <c r="G1" s="215"/>
      <c r="H1" s="215"/>
      <c r="I1" s="215"/>
      <c r="J1" s="215"/>
      <c r="L1" s="147" t="s">
        <v>31</v>
      </c>
    </row>
    <row r="3" spans="1:12" ht="15.75" thickBot="1" x14ac:dyDescent="0.3"/>
    <row r="4" spans="1:12" ht="15.75" thickBot="1" x14ac:dyDescent="0.3">
      <c r="A4" s="16" t="s">
        <v>176</v>
      </c>
      <c r="B4" s="17" t="s">
        <v>28</v>
      </c>
      <c r="C4" s="18" t="s">
        <v>175</v>
      </c>
      <c r="D4" s="18" t="s">
        <v>2</v>
      </c>
      <c r="E4" s="18" t="s">
        <v>32</v>
      </c>
      <c r="F4" s="18" t="s">
        <v>33</v>
      </c>
      <c r="G4" s="18" t="s">
        <v>34</v>
      </c>
      <c r="H4" s="19" t="s">
        <v>35</v>
      </c>
      <c r="I4" s="20" t="s">
        <v>6</v>
      </c>
      <c r="J4" s="15" t="s">
        <v>5</v>
      </c>
    </row>
    <row r="5" spans="1:12" x14ac:dyDescent="0.25">
      <c r="A5" s="5" t="s">
        <v>187</v>
      </c>
      <c r="B5" s="27" t="s">
        <v>289</v>
      </c>
      <c r="C5" s="27" t="s">
        <v>288</v>
      </c>
      <c r="D5" s="29">
        <v>3500000</v>
      </c>
      <c r="E5" s="30">
        <v>500000</v>
      </c>
      <c r="F5" s="30">
        <v>1000000</v>
      </c>
      <c r="G5" s="31"/>
      <c r="H5" s="32">
        <f>SUM(E5:G5)</f>
        <v>1500000</v>
      </c>
      <c r="I5" s="28"/>
      <c r="J5" s="33">
        <f>D5-H5</f>
        <v>2000000</v>
      </c>
      <c r="K5" t="s">
        <v>292</v>
      </c>
    </row>
    <row r="6" spans="1:12" x14ac:dyDescent="0.25">
      <c r="A6" s="85" t="s">
        <v>196</v>
      </c>
      <c r="B6" s="186" t="s">
        <v>290</v>
      </c>
      <c r="C6" s="186" t="s">
        <v>291</v>
      </c>
      <c r="D6" s="34">
        <v>300000</v>
      </c>
      <c r="E6" s="173">
        <v>300000</v>
      </c>
      <c r="F6" s="93"/>
      <c r="G6" s="174"/>
      <c r="H6" s="36">
        <f>SUM(E6:G6)</f>
        <v>300000</v>
      </c>
      <c r="I6" s="72" t="s">
        <v>31</v>
      </c>
      <c r="J6" s="35">
        <f t="shared" ref="J6" si="0">D6-H6</f>
        <v>0</v>
      </c>
    </row>
  </sheetData>
  <mergeCells count="1">
    <mergeCell ref="A1:J1"/>
  </mergeCells>
  <conditionalFormatting sqref="A5:J6">
    <cfRule type="expression" dxfId="3" priority="1">
      <formula>$I5="PAGADO"</formula>
    </cfRule>
  </conditionalFormatting>
  <dataValidations count="1">
    <dataValidation type="list" allowBlank="1" showInputMessage="1" showErrorMessage="1" sqref="I5:I6" xr:uid="{00000000-0002-0000-0400-000000000000}">
      <formula1>$L$1</formula1>
    </dataValidation>
  </dataValidations>
  <pageMargins left="0.52083333333333337" right="0.7" top="0.75" bottom="0.75" header="0.3" footer="0.3"/>
  <pageSetup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B4:G27"/>
  <sheetViews>
    <sheetView workbookViewId="0">
      <selection activeCell="G3" sqref="G3"/>
    </sheetView>
  </sheetViews>
  <sheetFormatPr baseColWidth="10" defaultRowHeight="15" x14ac:dyDescent="0.25"/>
  <cols>
    <col min="2" max="2" width="11.5703125" bestFit="1" customWidth="1"/>
    <col min="3" max="3" width="13.85546875" bestFit="1" customWidth="1"/>
    <col min="4" max="4" width="13.28515625" bestFit="1" customWidth="1"/>
  </cols>
  <sheetData>
    <row r="4" spans="2:7" ht="15.75" thickBot="1" x14ac:dyDescent="0.3"/>
    <row r="5" spans="2:7" ht="16.5" thickBot="1" x14ac:dyDescent="0.3">
      <c r="B5" s="37" t="s">
        <v>70</v>
      </c>
      <c r="C5" s="38" t="s">
        <v>177</v>
      </c>
      <c r="D5" s="38" t="s">
        <v>72</v>
      </c>
      <c r="E5" s="39" t="s">
        <v>0</v>
      </c>
      <c r="F5" s="9"/>
      <c r="G5" s="9"/>
    </row>
    <row r="6" spans="2:7" ht="16.5" thickBot="1" x14ac:dyDescent="0.3">
      <c r="B6" s="40"/>
      <c r="C6" s="41"/>
      <c r="D6" s="41"/>
      <c r="E6" s="42"/>
      <c r="F6" s="9"/>
      <c r="G6" s="9"/>
    </row>
    <row r="7" spans="2:7" ht="16.5" thickBot="1" x14ac:dyDescent="0.3">
      <c r="B7" s="37" t="s">
        <v>28</v>
      </c>
      <c r="C7" s="38" t="s">
        <v>30</v>
      </c>
      <c r="D7" s="38" t="s">
        <v>2</v>
      </c>
      <c r="E7" s="38" t="s">
        <v>3</v>
      </c>
      <c r="F7" s="38" t="s">
        <v>4</v>
      </c>
      <c r="G7" s="10" t="s">
        <v>6</v>
      </c>
    </row>
    <row r="8" spans="2:7" ht="15.75" x14ac:dyDescent="0.25">
      <c r="B8" s="12"/>
      <c r="C8" s="43" t="s">
        <v>7</v>
      </c>
      <c r="D8" s="13">
        <v>100000</v>
      </c>
      <c r="E8" s="11"/>
      <c r="F8" s="11"/>
      <c r="G8" s="14"/>
    </row>
    <row r="9" spans="2:7" ht="15.75" x14ac:dyDescent="0.25">
      <c r="B9" s="12"/>
      <c r="C9" s="43" t="s">
        <v>8</v>
      </c>
      <c r="D9" s="13">
        <v>100000</v>
      </c>
      <c r="E9" s="11"/>
      <c r="F9" s="11"/>
      <c r="G9" s="14"/>
    </row>
    <row r="10" spans="2:7" ht="15.75" x14ac:dyDescent="0.25">
      <c r="B10" s="12"/>
      <c r="C10" s="43" t="s">
        <v>9</v>
      </c>
      <c r="D10" s="13">
        <v>100000</v>
      </c>
      <c r="E10" s="11"/>
      <c r="F10" s="11"/>
      <c r="G10" s="14"/>
    </row>
    <row r="11" spans="2:7" ht="15.75" x14ac:dyDescent="0.25">
      <c r="B11" s="12"/>
      <c r="C11" s="43" t="s">
        <v>10</v>
      </c>
      <c r="D11" s="13">
        <v>100000</v>
      </c>
      <c r="E11" s="11"/>
      <c r="F11" s="11"/>
      <c r="G11" s="14"/>
    </row>
    <row r="12" spans="2:7" ht="15.75" x14ac:dyDescent="0.25">
      <c r="B12" s="12"/>
      <c r="C12" s="43" t="s">
        <v>11</v>
      </c>
      <c r="D12" s="13">
        <v>100000</v>
      </c>
      <c r="E12" s="11"/>
      <c r="F12" s="11"/>
      <c r="G12" s="14"/>
    </row>
    <row r="13" spans="2:7" ht="15.75" x14ac:dyDescent="0.25">
      <c r="B13" s="12"/>
      <c r="C13" s="43" t="s">
        <v>12</v>
      </c>
      <c r="D13" s="13">
        <v>100000</v>
      </c>
      <c r="E13" s="11"/>
      <c r="F13" s="11"/>
      <c r="G13" s="14"/>
    </row>
    <row r="14" spans="2:7" ht="15.75" x14ac:dyDescent="0.25">
      <c r="B14" s="12"/>
      <c r="C14" s="43" t="s">
        <v>13</v>
      </c>
      <c r="D14" s="13">
        <v>100000</v>
      </c>
      <c r="E14" s="11"/>
      <c r="F14" s="11"/>
      <c r="G14" s="14"/>
    </row>
    <row r="15" spans="2:7" ht="15.75" x14ac:dyDescent="0.25">
      <c r="B15" s="12"/>
      <c r="C15" s="43" t="s">
        <v>14</v>
      </c>
      <c r="D15" s="13">
        <v>100000</v>
      </c>
      <c r="E15" s="11"/>
      <c r="F15" s="11"/>
      <c r="G15" s="14"/>
    </row>
    <row r="16" spans="2:7" ht="15.75" x14ac:dyDescent="0.25">
      <c r="B16" s="12"/>
      <c r="C16" s="43" t="s">
        <v>15</v>
      </c>
      <c r="D16" s="13">
        <v>100000</v>
      </c>
      <c r="E16" s="11"/>
      <c r="F16" s="11"/>
      <c r="G16" s="14"/>
    </row>
    <row r="17" spans="2:7" ht="15.75" x14ac:dyDescent="0.25">
      <c r="B17" s="12"/>
      <c r="C17" s="43" t="s">
        <v>16</v>
      </c>
      <c r="D17" s="13">
        <v>100000</v>
      </c>
      <c r="E17" s="11"/>
      <c r="F17" s="11"/>
      <c r="G17" s="14"/>
    </row>
    <row r="18" spans="2:7" ht="15.75" x14ac:dyDescent="0.25">
      <c r="B18" s="12"/>
      <c r="C18" s="43" t="s">
        <v>17</v>
      </c>
      <c r="D18" s="13">
        <v>100000</v>
      </c>
      <c r="E18" s="11"/>
      <c r="F18" s="11"/>
      <c r="G18" s="14"/>
    </row>
    <row r="19" spans="2:7" ht="15.75" x14ac:dyDescent="0.25">
      <c r="B19" s="12"/>
      <c r="C19" s="43" t="s">
        <v>18</v>
      </c>
      <c r="D19" s="13">
        <v>100000</v>
      </c>
      <c r="E19" s="11"/>
      <c r="F19" s="11"/>
      <c r="G19" s="14"/>
    </row>
    <row r="20" spans="2:7" ht="15.75" x14ac:dyDescent="0.25">
      <c r="B20" s="12"/>
      <c r="C20" s="43" t="s">
        <v>19</v>
      </c>
      <c r="D20" s="13">
        <v>100000</v>
      </c>
      <c r="E20" s="11"/>
      <c r="F20" s="11"/>
      <c r="G20" s="14"/>
    </row>
    <row r="21" spans="2:7" ht="15.75" x14ac:dyDescent="0.25">
      <c r="B21" s="12"/>
      <c r="C21" s="43" t="s">
        <v>20</v>
      </c>
      <c r="D21" s="13">
        <v>100000</v>
      </c>
      <c r="E21" s="11"/>
      <c r="F21" s="11"/>
      <c r="G21" s="14"/>
    </row>
    <row r="22" spans="2:7" ht="15.75" x14ac:dyDescent="0.25">
      <c r="B22" s="12"/>
      <c r="C22" s="43" t="s">
        <v>21</v>
      </c>
      <c r="D22" s="13">
        <v>100000</v>
      </c>
      <c r="E22" s="11"/>
      <c r="F22" s="11"/>
      <c r="G22" s="14"/>
    </row>
    <row r="23" spans="2:7" ht="15.75" x14ac:dyDescent="0.25">
      <c r="B23" s="12"/>
      <c r="C23" s="43" t="s">
        <v>22</v>
      </c>
      <c r="D23" s="13">
        <v>100000</v>
      </c>
      <c r="E23" s="11"/>
      <c r="F23" s="11"/>
      <c r="G23" s="14"/>
    </row>
    <row r="24" spans="2:7" ht="15.75" x14ac:dyDescent="0.25">
      <c r="B24" s="12"/>
      <c r="C24" s="43" t="s">
        <v>23</v>
      </c>
      <c r="D24" s="13">
        <v>100000</v>
      </c>
      <c r="E24" s="11"/>
      <c r="F24" s="11"/>
      <c r="G24" s="14"/>
    </row>
    <row r="25" spans="2:7" ht="15.75" x14ac:dyDescent="0.25">
      <c r="B25" s="12"/>
      <c r="C25" s="43" t="s">
        <v>24</v>
      </c>
      <c r="D25" s="13">
        <v>100000</v>
      </c>
      <c r="E25" s="11"/>
      <c r="F25" s="11"/>
      <c r="G25" s="14"/>
    </row>
    <row r="26" spans="2:7" ht="15.75" x14ac:dyDescent="0.25">
      <c r="B26" s="12"/>
      <c r="C26" s="43" t="s">
        <v>25</v>
      </c>
      <c r="D26" s="13">
        <v>100000</v>
      </c>
      <c r="E26" s="11"/>
      <c r="F26" s="11"/>
      <c r="G26" s="14"/>
    </row>
    <row r="27" spans="2:7" ht="15.75" x14ac:dyDescent="0.25">
      <c r="B27" s="12"/>
      <c r="C27" s="43" t="s">
        <v>26</v>
      </c>
      <c r="D27" s="13">
        <v>100000</v>
      </c>
      <c r="E27" s="11"/>
      <c r="F27" s="11"/>
      <c r="G27" s="14"/>
    </row>
  </sheetData>
  <conditionalFormatting sqref="B8:F27">
    <cfRule type="expression" dxfId="2" priority="1">
      <formula>$H8="NO CONCRETADO"</formula>
    </cfRule>
    <cfRule type="expression" dxfId="1" priority="2">
      <formula>$H8="AVANZANDO"</formula>
    </cfRule>
    <cfRule type="expression" dxfId="0" priority="3">
      <formula>$H8="COMPLETO"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4</vt:i4>
      </vt:variant>
    </vt:vector>
  </HeadingPairs>
  <TitlesOfParts>
    <vt:vector size="10" baseType="lpstr">
      <vt:lpstr>PANEL</vt:lpstr>
      <vt:lpstr>ANTE PROYECTO</vt:lpstr>
      <vt:lpstr>CAMBIO USO SUELO,ACANTHA</vt:lpstr>
      <vt:lpstr>CAMBIO USO SUELO,ADARA</vt:lpstr>
      <vt:lpstr>HOTEL-LA HAYCA</vt:lpstr>
      <vt:lpstr>MEMO</vt:lpstr>
      <vt:lpstr>'ANTE PROYECTO'!Área_de_impresión</vt:lpstr>
      <vt:lpstr>'CAMBIO USO SUELO,ACANTHA'!Área_de_impresión</vt:lpstr>
      <vt:lpstr>'CAMBIO USO SUELO,ADARA'!Área_de_impresión</vt:lpstr>
      <vt:lpstr>'HOTEL-LA HAYCA'!Área_de_impresión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jesus</dc:creator>
  <cp:lastModifiedBy>jesus</cp:lastModifiedBy>
  <cp:lastPrinted>2021-01-31T18:56:14Z</cp:lastPrinted>
  <dcterms:created xsi:type="dcterms:W3CDTF">2020-10-25T21:38:13Z</dcterms:created>
  <dcterms:modified xsi:type="dcterms:W3CDTF">2021-01-31T18:57:30Z</dcterms:modified>
</cp:coreProperties>
</file>