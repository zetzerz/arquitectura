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agos\"/>
    </mc:Choice>
  </mc:AlternateContent>
  <xr:revisionPtr revIDLastSave="0" documentId="13_ncr:1_{9EFB4D12-03EC-4DAA-8482-7ACFD31A57CC}" xr6:coauthVersionLast="45" xr6:coauthVersionMax="45" xr10:uidLastSave="{00000000-0000-0000-0000-000000000000}"/>
  <bookViews>
    <workbookView xWindow="-120" yWindow="-120" windowWidth="20730" windowHeight="11160" activeTab="4" xr2:uid="{00000000-000D-0000-FFFF-FFFF00000000}"/>
  </bookViews>
  <sheets>
    <sheet name="PANEL" sheetId="6" r:id="rId1"/>
    <sheet name="Miraflores G-33" sheetId="11" r:id="rId2"/>
    <sheet name="Miraflores G 52-54" sheetId="7" r:id="rId3"/>
    <sheet name="Kiwiland" sheetId="8" r:id="rId4"/>
    <sheet name="a" sheetId="12" r:id="rId5"/>
    <sheet name="Las Americas" sheetId="13" r:id="rId6"/>
    <sheet name="MEMO" sheetId="9" r:id="rId7"/>
  </sheets>
  <externalReferences>
    <externalReference r:id="rId8"/>
  </externalReferences>
  <definedNames>
    <definedName name="_xlnm.Print_Area" localSheetId="3">Kiwiland!$A$1:$I$110</definedName>
    <definedName name="_xlnm.Print_Area" localSheetId="5">'Las Americas'!$A$1:$J$26</definedName>
    <definedName name="CECIA">'Las Americas'!$I$6:$I$17,'Las Americas'!$F$24:$F$25</definedName>
    <definedName name="ESTADO">'[1]2020'!$N$1:$N$3</definedName>
    <definedName name="PAGADO">'Las Americas'!$L$1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0" i="12" l="1"/>
  <c r="L60" i="12" s="1"/>
  <c r="L59" i="12"/>
  <c r="J59" i="12"/>
  <c r="J58" i="12"/>
  <c r="L58" i="12" s="1"/>
  <c r="L57" i="12"/>
  <c r="J57" i="12"/>
  <c r="J56" i="12"/>
  <c r="L56" i="12" s="1"/>
  <c r="L55" i="12"/>
  <c r="J55" i="12"/>
  <c r="J54" i="12"/>
  <c r="L54" i="12" s="1"/>
  <c r="L53" i="12"/>
  <c r="J53" i="12"/>
  <c r="J51" i="12" l="1"/>
  <c r="L51" i="12" s="1"/>
  <c r="J50" i="12"/>
  <c r="L50" i="12" s="1"/>
  <c r="J49" i="12"/>
  <c r="L49" i="12" s="1"/>
  <c r="J48" i="12"/>
  <c r="L48" i="12" s="1"/>
  <c r="L47" i="12"/>
  <c r="J45" i="12" l="1"/>
  <c r="L45" i="12" s="1"/>
  <c r="J44" i="12"/>
  <c r="L44" i="12" s="1"/>
  <c r="J43" i="12"/>
  <c r="L43" i="12" s="1"/>
  <c r="J42" i="12"/>
  <c r="L42" i="12" s="1"/>
  <c r="L41" i="12"/>
  <c r="J40" i="12"/>
  <c r="L40" i="12" s="1"/>
  <c r="L39" i="12"/>
  <c r="J38" i="12"/>
  <c r="L38" i="12" s="1"/>
  <c r="L37" i="12"/>
  <c r="L36" i="12"/>
  <c r="J36" i="12"/>
  <c r="L35" i="12"/>
  <c r="J33" i="12"/>
  <c r="L33" i="12" s="1"/>
  <c r="L32" i="12"/>
  <c r="J32" i="12"/>
  <c r="J31" i="12"/>
  <c r="L31" i="12" s="1"/>
  <c r="J30" i="12"/>
  <c r="L30" i="12" s="1"/>
  <c r="J29" i="12"/>
  <c r="L29" i="12" s="1"/>
  <c r="J28" i="12"/>
  <c r="L28" i="12" s="1"/>
  <c r="J27" i="12"/>
  <c r="L27" i="12" s="1"/>
  <c r="L26" i="12"/>
  <c r="J26" i="12"/>
  <c r="J25" i="12"/>
  <c r="L25" i="12" s="1"/>
  <c r="L24" i="12"/>
  <c r="J24" i="12"/>
  <c r="J23" i="12"/>
  <c r="L23" i="12" s="1"/>
  <c r="L22" i="12"/>
  <c r="C18" i="13" l="1"/>
  <c r="C26" i="13"/>
  <c r="H17" i="13"/>
  <c r="J17" i="13" s="1"/>
  <c r="H16" i="13"/>
  <c r="J16" i="13" s="1"/>
  <c r="H15" i="13"/>
  <c r="J15" i="13" s="1"/>
  <c r="H14" i="13"/>
  <c r="J14" i="13" s="1"/>
  <c r="H13" i="13"/>
  <c r="J13" i="13" s="1"/>
  <c r="H12" i="13"/>
  <c r="J12" i="13" s="1"/>
  <c r="H11" i="13"/>
  <c r="J11" i="13" s="1"/>
  <c r="H10" i="13"/>
  <c r="J10" i="13" s="1"/>
  <c r="H9" i="13"/>
  <c r="J9" i="13" s="1"/>
  <c r="H8" i="13"/>
  <c r="J8" i="13" s="1"/>
  <c r="H7" i="13"/>
  <c r="J7" i="13" s="1"/>
  <c r="H6" i="13"/>
  <c r="J6" i="13" s="1"/>
  <c r="I12" i="7"/>
  <c r="K12" i="7" s="1"/>
  <c r="H18" i="13" l="1"/>
  <c r="H19" i="13" s="1"/>
  <c r="C63" i="11"/>
  <c r="H63" i="11"/>
  <c r="C47" i="11"/>
  <c r="H47" i="11"/>
  <c r="J20" i="12"/>
  <c r="L20" i="12" s="1"/>
  <c r="J19" i="12"/>
  <c r="L19" i="12" s="1"/>
  <c r="J18" i="12"/>
  <c r="L18" i="12" s="1"/>
  <c r="J17" i="12"/>
  <c r="L17" i="12" s="1"/>
  <c r="J16" i="12"/>
  <c r="L16" i="12" s="1"/>
  <c r="J15" i="12"/>
  <c r="L15" i="12" s="1"/>
  <c r="J14" i="12"/>
  <c r="L14" i="12" s="1"/>
  <c r="J13" i="12"/>
  <c r="L13" i="12" s="1"/>
  <c r="J12" i="12"/>
  <c r="L12" i="12" s="1"/>
  <c r="J11" i="12"/>
  <c r="L11" i="12" s="1"/>
  <c r="J10" i="12"/>
  <c r="L10" i="12" s="1"/>
  <c r="J9" i="12"/>
  <c r="L9" i="12" s="1"/>
  <c r="J8" i="12"/>
  <c r="L8" i="12" s="1"/>
  <c r="J6" i="12"/>
  <c r="L6" i="12" s="1"/>
  <c r="J5" i="12"/>
  <c r="L5" i="12" s="1"/>
  <c r="H64" i="11" l="1"/>
  <c r="H48" i="11"/>
  <c r="I27" i="7"/>
  <c r="K27" i="7" s="1"/>
  <c r="I25" i="7"/>
  <c r="K25" i="7" s="1"/>
  <c r="I23" i="7"/>
  <c r="K23" i="7" s="1"/>
  <c r="I22" i="7"/>
  <c r="K22" i="7" s="1"/>
  <c r="I21" i="7"/>
  <c r="K21" i="7" s="1"/>
  <c r="I20" i="7"/>
  <c r="K20" i="7" s="1"/>
  <c r="I19" i="7"/>
  <c r="K19" i="7" s="1"/>
  <c r="I18" i="7"/>
  <c r="K18" i="7" s="1"/>
  <c r="I17" i="7"/>
  <c r="K17" i="7" s="1"/>
  <c r="I16" i="7"/>
  <c r="K16" i="7" s="1"/>
  <c r="I14" i="7"/>
  <c r="K14" i="7" s="1"/>
  <c r="I11" i="7"/>
  <c r="K11" i="7" s="1"/>
  <c r="I10" i="7"/>
  <c r="K10" i="7" s="1"/>
  <c r="I9" i="7"/>
  <c r="K9" i="7" s="1"/>
  <c r="I8" i="7"/>
  <c r="K8" i="7" s="1"/>
  <c r="I7" i="7"/>
  <c r="K7" i="7" s="1"/>
  <c r="I6" i="7"/>
  <c r="K6" i="7" s="1"/>
  <c r="H7" i="11"/>
  <c r="H8" i="11"/>
  <c r="H9" i="11"/>
  <c r="H10" i="11"/>
  <c r="H11" i="11"/>
  <c r="H12" i="11"/>
  <c r="H13" i="11"/>
  <c r="H14" i="11"/>
  <c r="H15" i="11"/>
  <c r="C99" i="8"/>
  <c r="H98" i="8"/>
  <c r="J98" i="8" s="1"/>
  <c r="H97" i="8"/>
  <c r="J97" i="8" s="1"/>
  <c r="H96" i="8"/>
  <c r="J96" i="8" s="1"/>
  <c r="H95" i="8"/>
  <c r="J95" i="8" s="1"/>
  <c r="H94" i="8"/>
  <c r="C77" i="8"/>
  <c r="C88" i="8"/>
  <c r="H76" i="8"/>
  <c r="J76" i="8" s="1"/>
  <c r="H75" i="8"/>
  <c r="J75" i="8" s="1"/>
  <c r="H74" i="8"/>
  <c r="J74" i="8" s="1"/>
  <c r="H73" i="8"/>
  <c r="J73" i="8" s="1"/>
  <c r="H72" i="8"/>
  <c r="J72" i="8" s="1"/>
  <c r="C66" i="8"/>
  <c r="C55" i="8"/>
  <c r="H54" i="8"/>
  <c r="J54" i="8" s="1"/>
  <c r="H53" i="8"/>
  <c r="J53" i="8" s="1"/>
  <c r="H52" i="8"/>
  <c r="J52" i="8" s="1"/>
  <c r="H51" i="8"/>
  <c r="J51" i="8" s="1"/>
  <c r="H50" i="8"/>
  <c r="J50" i="8" s="1"/>
  <c r="H99" i="8" l="1"/>
  <c r="H100" i="8" s="1"/>
  <c r="J94" i="8"/>
  <c r="H77" i="8"/>
  <c r="H78" i="8" s="1"/>
  <c r="H55" i="8"/>
  <c r="H56" i="8" s="1"/>
  <c r="C43" i="8"/>
  <c r="C85" i="9"/>
  <c r="C34" i="8"/>
  <c r="H33" i="8"/>
  <c r="J33" i="8" s="1"/>
  <c r="H32" i="8"/>
  <c r="J32" i="8" s="1"/>
  <c r="H31" i="8"/>
  <c r="C24" i="8"/>
  <c r="H23" i="8"/>
  <c r="J23" i="8" s="1"/>
  <c r="H22" i="8"/>
  <c r="J22" i="8" s="1"/>
  <c r="H21" i="8"/>
  <c r="J21" i="8" s="1"/>
  <c r="H20" i="8"/>
  <c r="J20" i="8" s="1"/>
  <c r="H19" i="8"/>
  <c r="J19" i="8" s="1"/>
  <c r="H18" i="8"/>
  <c r="J18" i="8" s="1"/>
  <c r="H17" i="8"/>
  <c r="J17" i="8" s="1"/>
  <c r="H16" i="8"/>
  <c r="J16" i="8" s="1"/>
  <c r="C9" i="8"/>
  <c r="H8" i="8"/>
  <c r="J8" i="8" s="1"/>
  <c r="H7" i="8"/>
  <c r="J7" i="8" s="1"/>
  <c r="H6" i="8"/>
  <c r="J6" i="8" s="1"/>
  <c r="C32" i="11"/>
  <c r="J15" i="11"/>
  <c r="C16" i="11"/>
  <c r="J14" i="11"/>
  <c r="J13" i="11"/>
  <c r="J12" i="11"/>
  <c r="J11" i="11"/>
  <c r="J10" i="11"/>
  <c r="J9" i="11"/>
  <c r="J8" i="11"/>
  <c r="J7" i="11"/>
  <c r="H6" i="11"/>
  <c r="J6" i="11" s="1"/>
  <c r="H24" i="8" l="1"/>
  <c r="H25" i="8" s="1"/>
  <c r="H34" i="8"/>
  <c r="H35" i="8" s="1"/>
  <c r="J31" i="8"/>
  <c r="H9" i="8"/>
  <c r="H10" i="8" s="1"/>
  <c r="H16" i="11"/>
  <c r="H17" i="11" s="1"/>
  <c r="H67" i="9" l="1"/>
  <c r="J67" i="9" s="1"/>
  <c r="H66" i="9"/>
  <c r="J66" i="9" s="1"/>
  <c r="H65" i="9"/>
  <c r="J65" i="9" s="1"/>
  <c r="H64" i="9"/>
  <c r="J64" i="9" s="1"/>
  <c r="H63" i="9"/>
  <c r="J63" i="9" s="1"/>
  <c r="H62" i="9"/>
  <c r="J62" i="9" s="1"/>
  <c r="H61" i="9"/>
  <c r="J61" i="9" s="1"/>
  <c r="H60" i="9"/>
  <c r="J60" i="9" s="1"/>
  <c r="H59" i="9"/>
  <c r="J59" i="9" s="1"/>
  <c r="H58" i="9"/>
  <c r="J58" i="9" s="1"/>
  <c r="H57" i="9"/>
  <c r="J57" i="9" s="1"/>
  <c r="H56" i="9"/>
  <c r="J56" i="9" s="1"/>
  <c r="H55" i="9"/>
  <c r="J55" i="9" s="1"/>
  <c r="H54" i="9"/>
  <c r="J54" i="9" s="1"/>
  <c r="H53" i="9"/>
  <c r="J53" i="9" s="1"/>
  <c r="H52" i="9"/>
  <c r="J52" i="9" s="1"/>
  <c r="H51" i="9"/>
  <c r="J51" i="9" s="1"/>
  <c r="H50" i="9"/>
  <c r="J50" i="9" s="1"/>
  <c r="H49" i="9"/>
  <c r="J49" i="9" s="1"/>
  <c r="H48" i="9"/>
  <c r="J48" i="9" s="1"/>
  <c r="H47" i="9"/>
  <c r="J47" i="9" s="1"/>
  <c r="H46" i="9"/>
  <c r="J46" i="9" s="1"/>
  <c r="H45" i="9"/>
  <c r="J45" i="9" s="1"/>
  <c r="H44" i="9"/>
  <c r="J44" i="9" s="1"/>
  <c r="H43" i="9"/>
  <c r="J43" i="9" s="1"/>
  <c r="H42" i="9"/>
  <c r="J42" i="9" s="1"/>
  <c r="H41" i="9"/>
  <c r="J41" i="9" s="1"/>
  <c r="H40" i="9"/>
  <c r="J40" i="9" s="1"/>
  <c r="H39" i="9"/>
  <c r="J39" i="9" s="1"/>
  <c r="H38" i="9"/>
  <c r="J38" i="9" s="1"/>
  <c r="H37" i="9"/>
  <c r="J37" i="9" s="1"/>
  <c r="H36" i="9"/>
  <c r="J36" i="9" s="1"/>
  <c r="H35" i="9"/>
  <c r="J35" i="9" s="1"/>
  <c r="H34" i="9"/>
  <c r="J34" i="9" s="1"/>
  <c r="H33" i="9"/>
  <c r="J33" i="9" s="1"/>
  <c r="H32" i="9"/>
  <c r="J32" i="9" s="1"/>
  <c r="H31" i="9"/>
  <c r="J31" i="9" s="1"/>
  <c r="H30" i="9"/>
  <c r="J30" i="9" s="1"/>
  <c r="H29" i="9"/>
  <c r="J29" i="9" s="1"/>
  <c r="H28" i="9"/>
  <c r="J28" i="9" s="1"/>
  <c r="H27" i="9"/>
  <c r="J27" i="9" s="1"/>
  <c r="H26" i="9"/>
  <c r="J26" i="9" s="1"/>
  <c r="H25" i="9"/>
  <c r="J25" i="9" s="1"/>
  <c r="H24" i="9"/>
  <c r="J24" i="9" s="1"/>
  <c r="H23" i="9"/>
  <c r="J23" i="9" s="1"/>
  <c r="H22" i="9"/>
  <c r="J22" i="9" s="1"/>
  <c r="H21" i="9"/>
  <c r="J21" i="9" s="1"/>
  <c r="H20" i="9"/>
  <c r="J20" i="9" s="1"/>
  <c r="H19" i="9"/>
  <c r="J19" i="9" s="1"/>
  <c r="H18" i="9"/>
  <c r="J18" i="9" s="1"/>
  <c r="H17" i="9"/>
  <c r="J17" i="9" s="1"/>
  <c r="H16" i="9"/>
  <c r="J16" i="9" s="1"/>
  <c r="J11" i="9"/>
  <c r="L11" i="9" s="1"/>
  <c r="J10" i="9"/>
  <c r="L10" i="9" s="1"/>
  <c r="J9" i="9"/>
  <c r="L9" i="9" s="1"/>
  <c r="J8" i="9"/>
  <c r="L8" i="9" s="1"/>
  <c r="J7" i="9"/>
  <c r="L7" i="9" s="1"/>
  <c r="J6" i="9"/>
  <c r="L6" i="9" s="1"/>
  <c r="J5" i="9"/>
  <c r="L5" i="9" s="1"/>
</calcChain>
</file>

<file path=xl/sharedStrings.xml><?xml version="1.0" encoding="utf-8"?>
<sst xmlns="http://schemas.openxmlformats.org/spreadsheetml/2006/main" count="655" uniqueCount="247">
  <si>
    <t>FECHA</t>
  </si>
  <si>
    <t>HONORARIO</t>
  </si>
  <si>
    <t>SALDO</t>
  </si>
  <si>
    <t>ESTADO</t>
  </si>
  <si>
    <t>NOMBRE</t>
  </si>
  <si>
    <t>PAGADO</t>
  </si>
  <si>
    <t>1° PAGO</t>
  </si>
  <si>
    <t>2°PAGO</t>
  </si>
  <si>
    <t>3°PAGO</t>
  </si>
  <si>
    <t>TOTAL</t>
  </si>
  <si>
    <t>N°PRSP</t>
  </si>
  <si>
    <t>N° Lote</t>
  </si>
  <si>
    <t>N°LOTE</t>
  </si>
  <si>
    <t>SITIO</t>
  </si>
  <si>
    <t>PAGO 1</t>
  </si>
  <si>
    <t>PAGO 2</t>
  </si>
  <si>
    <t>Sitio 1</t>
  </si>
  <si>
    <t>Sitio 2</t>
  </si>
  <si>
    <t>Sitio 3</t>
  </si>
  <si>
    <t>Sitio 4</t>
  </si>
  <si>
    <t>Sitio 5</t>
  </si>
  <si>
    <t>Sitio 6</t>
  </si>
  <si>
    <t>Sitio 7</t>
  </si>
  <si>
    <t>Sitio 8</t>
  </si>
  <si>
    <t>Sitio 9</t>
  </si>
  <si>
    <t>Sitio 10</t>
  </si>
  <si>
    <t>Sitio 11</t>
  </si>
  <si>
    <t>Sitio 12</t>
  </si>
  <si>
    <t>Sitio 13</t>
  </si>
  <si>
    <t>Sitio 14</t>
  </si>
  <si>
    <t>Sitio 15</t>
  </si>
  <si>
    <t>Sitio 16</t>
  </si>
  <si>
    <t>Sitio 17</t>
  </si>
  <si>
    <t>Sitio 18</t>
  </si>
  <si>
    <t>Sitio 19</t>
  </si>
  <si>
    <t>Sitio 20</t>
  </si>
  <si>
    <t>N°PERS.</t>
  </si>
  <si>
    <t>N°PRESUP.</t>
  </si>
  <si>
    <t>Sitio 21</t>
  </si>
  <si>
    <t>Sitio 22</t>
  </si>
  <si>
    <t>Sitio 23</t>
  </si>
  <si>
    <t>Sitio 24</t>
  </si>
  <si>
    <t>Sitio 25</t>
  </si>
  <si>
    <t>Sitio 26</t>
  </si>
  <si>
    <t>Sitio 27</t>
  </si>
  <si>
    <t>Sitio 28</t>
  </si>
  <si>
    <t>Sitio 29</t>
  </si>
  <si>
    <t>Sitio 30</t>
  </si>
  <si>
    <t>Sitio 31</t>
  </si>
  <si>
    <t>Sitio 32</t>
  </si>
  <si>
    <t>Sitio 33</t>
  </si>
  <si>
    <t>Sitio 34</t>
  </si>
  <si>
    <t>Sitio 35</t>
  </si>
  <si>
    <t>Sitio 36</t>
  </si>
  <si>
    <t>Sitio 37</t>
  </si>
  <si>
    <t>Sitio 38</t>
  </si>
  <si>
    <t>Sitio 39</t>
  </si>
  <si>
    <t>Sitio 40</t>
  </si>
  <si>
    <t>Sitio 41</t>
  </si>
  <si>
    <t>Sitio 42</t>
  </si>
  <si>
    <t>Sitio 43</t>
  </si>
  <si>
    <t>Sitio 44</t>
  </si>
  <si>
    <t>Sitio 45</t>
  </si>
  <si>
    <t>Sitio 46</t>
  </si>
  <si>
    <t>Sitio 47</t>
  </si>
  <si>
    <t>Sitio 48</t>
  </si>
  <si>
    <t>Sitio 49</t>
  </si>
  <si>
    <t>Sitio 50</t>
  </si>
  <si>
    <t>Sitio 51</t>
  </si>
  <si>
    <t>Sitio 52</t>
  </si>
  <si>
    <t>MEMOS LOTES</t>
  </si>
  <si>
    <t>TOTAL PAGADO</t>
  </si>
  <si>
    <t>TOTAL DEL LOTE</t>
  </si>
  <si>
    <t>DIFERENCIA A PAGAR</t>
  </si>
  <si>
    <t>Subdivision - Miraflores, Pica</t>
  </si>
  <si>
    <t>134/2018</t>
  </si>
  <si>
    <t xml:space="preserve">G 33  </t>
  </si>
  <si>
    <t>2 Pagos $ 100.000</t>
  </si>
  <si>
    <t>Sitio A</t>
  </si>
  <si>
    <t>Sitio B</t>
  </si>
  <si>
    <t>Sitio C</t>
  </si>
  <si>
    <t>Sitio D</t>
  </si>
  <si>
    <t>Sitio E</t>
  </si>
  <si>
    <t>Sitio F</t>
  </si>
  <si>
    <t>Sitio G</t>
  </si>
  <si>
    <t>Sitio H</t>
  </si>
  <si>
    <t>Sitio J</t>
  </si>
  <si>
    <t>Sitio I</t>
  </si>
  <si>
    <t>Topografo $ 40.000</t>
  </si>
  <si>
    <t>Orlando Gomez</t>
  </si>
  <si>
    <t>Marcelina Moscoso</t>
  </si>
  <si>
    <t>de copiapo</t>
  </si>
  <si>
    <t>Mariela Arenas</t>
  </si>
  <si>
    <t>Ana Peralta</t>
  </si>
  <si>
    <t>Leoncia - Laura</t>
  </si>
  <si>
    <t>Imilda Vilca</t>
  </si>
  <si>
    <t>de antogafasta</t>
  </si>
  <si>
    <t>Subdivision - Kiwiland, Pica</t>
  </si>
  <si>
    <t>3 Kiwiland</t>
  </si>
  <si>
    <t>004/2020</t>
  </si>
  <si>
    <t>Sitio 3 A</t>
  </si>
  <si>
    <t>Wilson Cortez</t>
  </si>
  <si>
    <t>Jose Parra</t>
  </si>
  <si>
    <t xml:space="preserve">Fabian romero </t>
  </si>
  <si>
    <t>Sitio 3 B</t>
  </si>
  <si>
    <t>Sitio 3 C</t>
  </si>
  <si>
    <t>012/2020</t>
  </si>
  <si>
    <t>Manuel Pablete</t>
  </si>
  <si>
    <t>Rosa Alvear</t>
  </si>
  <si>
    <t>Monica Gonzalez</t>
  </si>
  <si>
    <t>Margarita</t>
  </si>
  <si>
    <t>Juan Carlos</t>
  </si>
  <si>
    <t>Piera</t>
  </si>
  <si>
    <t>Ivonne Valencia</t>
  </si>
  <si>
    <t>Sitio 7 A</t>
  </si>
  <si>
    <t xml:space="preserve">Sitio 7 B </t>
  </si>
  <si>
    <t>Sitio 7 C</t>
  </si>
  <si>
    <t>Sitio 7 D1</t>
  </si>
  <si>
    <t>Sitio 7 D2</t>
  </si>
  <si>
    <t>Sitio 7 D3</t>
  </si>
  <si>
    <t>Sitio 7 E</t>
  </si>
  <si>
    <t>00-08-19</t>
  </si>
  <si>
    <t>8 Kiwiland</t>
  </si>
  <si>
    <t>097/2018</t>
  </si>
  <si>
    <t>Silvia Rivero</t>
  </si>
  <si>
    <t>Jorge Donoso</t>
  </si>
  <si>
    <t>Silvana Araya</t>
  </si>
  <si>
    <t>??????</t>
  </si>
  <si>
    <t>Topografo $ 100.000</t>
  </si>
  <si>
    <t>9 Kiwiland</t>
  </si>
  <si>
    <t>098/2018</t>
  </si>
  <si>
    <t>adele</t>
  </si>
  <si>
    <t>Juan Avalo</t>
  </si>
  <si>
    <t>Maria</t>
  </si>
  <si>
    <t xml:space="preserve">Julio Zamarano </t>
  </si>
  <si>
    <t>Janet - Guiovani</t>
  </si>
  <si>
    <t xml:space="preserve">sin fecha </t>
  </si>
  <si>
    <t>10 Kiwiland</t>
  </si>
  <si>
    <t>006/2020</t>
  </si>
  <si>
    <t>Maritza Ahuamada</t>
  </si>
  <si>
    <t>Maritza Ahumada</t>
  </si>
  <si>
    <t>Sitio 10 A</t>
  </si>
  <si>
    <t>Sitio 10 B</t>
  </si>
  <si>
    <t>Sitio 10 C</t>
  </si>
  <si>
    <t>Sitio 10 D</t>
  </si>
  <si>
    <t>Sitio 10 E</t>
  </si>
  <si>
    <t>101/2018</t>
  </si>
  <si>
    <t>Danahe Orrego</t>
  </si>
  <si>
    <t xml:space="preserve">Adele </t>
  </si>
  <si>
    <t>Andres</t>
  </si>
  <si>
    <t>Patricia</t>
  </si>
  <si>
    <t>Ana(Roberto Parada)</t>
  </si>
  <si>
    <t>7 Kiwiland</t>
  </si>
  <si>
    <t>Topografo</t>
  </si>
  <si>
    <t>11 Kiwiland</t>
  </si>
  <si>
    <t xml:space="preserve">LOTE </t>
  </si>
  <si>
    <t>G 52</t>
  </si>
  <si>
    <t>G 54</t>
  </si>
  <si>
    <t>G 56</t>
  </si>
  <si>
    <t>G 58</t>
  </si>
  <si>
    <t>Pamela Espinoza</t>
  </si>
  <si>
    <t xml:space="preserve">2 SITIO </t>
  </si>
  <si>
    <t xml:space="preserve">1 SITIO </t>
  </si>
  <si>
    <t>091/18</t>
  </si>
  <si>
    <t>Mauricio Sanchez</t>
  </si>
  <si>
    <t>Sergio Joglar</t>
  </si>
  <si>
    <t>Blanca Benavides</t>
  </si>
  <si>
    <t>Oscar Joo</t>
  </si>
  <si>
    <t>Evelyn Sanzana</t>
  </si>
  <si>
    <t>Francisco Miranda</t>
  </si>
  <si>
    <t>Cristian Varga</t>
  </si>
  <si>
    <t>Hugo Herrera</t>
  </si>
  <si>
    <t>Isaac Villalon</t>
  </si>
  <si>
    <t>Anibal Gutierrez</t>
  </si>
  <si>
    <t>Aldo</t>
  </si>
  <si>
    <t>Sebastian Ojarsun</t>
  </si>
  <si>
    <t>Lote</t>
  </si>
  <si>
    <t>LOTE 2 LAS AMERICA</t>
  </si>
  <si>
    <t>ROSA SAAVEDRA</t>
  </si>
  <si>
    <t>EDUARDO LOPEZ</t>
  </si>
  <si>
    <t>003/2020</t>
  </si>
  <si>
    <t>LOTE 13 LAS AMERICAS</t>
  </si>
  <si>
    <t>JUAN DAZA</t>
  </si>
  <si>
    <t>SITIO 1</t>
  </si>
  <si>
    <t>TOPOGRAFO</t>
  </si>
  <si>
    <t>EDITH AVANS</t>
  </si>
  <si>
    <t>SITIO 2</t>
  </si>
  <si>
    <t>Pagado</t>
  </si>
  <si>
    <t>ISABEL RIQUELME</t>
  </si>
  <si>
    <t>SITIO 3</t>
  </si>
  <si>
    <t>JACQUELINE CLARK</t>
  </si>
  <si>
    <t>SITIO 4</t>
  </si>
  <si>
    <t>MARCOS NARANJO</t>
  </si>
  <si>
    <t>SITIO 5</t>
  </si>
  <si>
    <t>BLANCA AGUIRRE</t>
  </si>
  <si>
    <t>SITIO 6</t>
  </si>
  <si>
    <t>007/2020</t>
  </si>
  <si>
    <t>023/2020</t>
  </si>
  <si>
    <t>Subdivision Predial - Las Americas, Pica</t>
  </si>
  <si>
    <t>Juana Roque</t>
  </si>
  <si>
    <t>1 al 5</t>
  </si>
  <si>
    <t>2 al 12</t>
  </si>
  <si>
    <t xml:space="preserve">Josefina Roque </t>
  </si>
  <si>
    <t>Topografo $400.000</t>
  </si>
  <si>
    <t>Josefina Roque</t>
  </si>
  <si>
    <t xml:space="preserve">PANEL </t>
  </si>
  <si>
    <t>SITIO 7</t>
  </si>
  <si>
    <t>SITIO 8</t>
  </si>
  <si>
    <t>SITIO 9</t>
  </si>
  <si>
    <t>SITIO 10</t>
  </si>
  <si>
    <t>SITIO 11</t>
  </si>
  <si>
    <t>LOTE 25 LAS AMERICAS</t>
  </si>
  <si>
    <t>JAVIER SAVEEDRA</t>
  </si>
  <si>
    <t>LAURA SAVEEDRA</t>
  </si>
  <si>
    <t>GLADIS SAVEEDRA</t>
  </si>
  <si>
    <t>ISABEL CARVAJAL</t>
  </si>
  <si>
    <t>MARCOS ROJAS</t>
  </si>
  <si>
    <t>MIRIAM</t>
  </si>
  <si>
    <t xml:space="preserve"> </t>
  </si>
  <si>
    <t>9 Las Americas</t>
  </si>
  <si>
    <t>090/2019</t>
  </si>
  <si>
    <t>089/2019</t>
  </si>
  <si>
    <t>LOTE 17 LAS AMERICA</t>
  </si>
  <si>
    <t>SUBDIVISION</t>
  </si>
  <si>
    <t>WALDO ROJAS</t>
  </si>
  <si>
    <t>CLARA DIAZ</t>
  </si>
  <si>
    <t>YAZMIN MALDONADO</t>
  </si>
  <si>
    <t>LUZ JORQUERA</t>
  </si>
  <si>
    <t>RUT ALFARO</t>
  </si>
  <si>
    <t>GRIMILDA ZUÑIGA</t>
  </si>
  <si>
    <t>NILDA RAMIREZ</t>
  </si>
  <si>
    <t>097/2019</t>
  </si>
  <si>
    <t>LOTE 18 LAS AMERICA</t>
  </si>
  <si>
    <t>Permiso Edificacion</t>
  </si>
  <si>
    <t>WILMA CAYO</t>
  </si>
  <si>
    <t xml:space="preserve">SITIO </t>
  </si>
  <si>
    <t>050/2019</t>
  </si>
  <si>
    <t>LOTE 24 LAS AMERICA</t>
  </si>
  <si>
    <t>FERNANDO G.</t>
  </si>
  <si>
    <t>FREDDY GUERRA</t>
  </si>
  <si>
    <t>HUGO PIZARRO</t>
  </si>
  <si>
    <t>MERIA FERNAND.</t>
  </si>
  <si>
    <t>MARIA GALVEZ</t>
  </si>
  <si>
    <t>MARTHA OLIVA</t>
  </si>
  <si>
    <t>NORMA RODRIG.</t>
  </si>
  <si>
    <t>OSCAR PIZARRO</t>
  </si>
  <si>
    <t>084/2018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</si>
</sst>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 * #,##0_ ;_ * \-#,##0_ ;_ * &quot;-&quot;_ ;_ @_ 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* #,##0_-;\-* #,##0_-;_-* &quot;-&quot;??_-;_-@_-"/>
    <numFmt numFmtId="167" formatCode="_-&quot;$&quot;\ * #,##0_-;\-&quot;$&quot;\ * #,##0_-;_-&quot;$&quot;\ * &quot;-&quot;??_-;_-@_-"/>
    <numFmt numFmtId="168" formatCode="dd/mm/yy;@"/>
    <numFmt numFmtId="169" formatCode="&quot;$&quot;\ #,##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0549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0B4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C00000"/>
      </right>
      <top style="thin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thin">
        <color rgb="FFC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 style="thin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C00000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C00000"/>
      </left>
      <right style="medium">
        <color rgb="FFC00000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Font="1"/>
    <xf numFmtId="0" fontId="2" fillId="0" borderId="0" xfId="0" applyFont="1"/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14" fontId="2" fillId="2" borderId="15" xfId="0" applyNumberFormat="1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3" fillId="0" borderId="6" xfId="0" applyFont="1" applyBorder="1"/>
    <xf numFmtId="0" fontId="2" fillId="0" borderId="6" xfId="0" applyFont="1" applyBorder="1" applyAlignment="1">
      <alignment horizontal="center"/>
    </xf>
    <xf numFmtId="167" fontId="2" fillId="0" borderId="6" xfId="2" applyNumberFormat="1" applyFont="1" applyBorder="1" applyAlignment="1">
      <alignment horizontal="center"/>
    </xf>
    <xf numFmtId="167" fontId="4" fillId="0" borderId="6" xfId="2" applyNumberFormat="1" applyFont="1" applyBorder="1" applyAlignment="1">
      <alignment horizontal="center"/>
    </xf>
    <xf numFmtId="14" fontId="4" fillId="0" borderId="6" xfId="2" applyNumberFormat="1" applyFont="1" applyBorder="1" applyAlignment="1">
      <alignment horizontal="center"/>
    </xf>
    <xf numFmtId="167" fontId="3" fillId="0" borderId="18" xfId="2" applyNumberFormat="1" applyFont="1" applyBorder="1" applyAlignment="1">
      <alignment horizontal="center"/>
    </xf>
    <xf numFmtId="0" fontId="2" fillId="0" borderId="6" xfId="0" applyFont="1" applyBorder="1"/>
    <xf numFmtId="167" fontId="3" fillId="0" borderId="7" xfId="2" applyNumberFormat="1" applyFont="1" applyBorder="1" applyAlignment="1">
      <alignment horizontal="center"/>
    </xf>
    <xf numFmtId="14" fontId="0" fillId="0" borderId="0" xfId="0" applyNumberFormat="1"/>
    <xf numFmtId="167" fontId="3" fillId="0" borderId="24" xfId="2" applyNumberFormat="1" applyFont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2" fillId="0" borderId="4" xfId="0" quotePrefix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0" fillId="3" borderId="3" xfId="0" applyFont="1" applyFill="1" applyBorder="1"/>
    <xf numFmtId="0" fontId="2" fillId="3" borderId="3" xfId="0" applyFont="1" applyFill="1" applyBorder="1"/>
    <xf numFmtId="166" fontId="2" fillId="3" borderId="3" xfId="1" applyNumberFormat="1" applyFont="1" applyFill="1" applyBorder="1"/>
    <xf numFmtId="166" fontId="4" fillId="3" borderId="3" xfId="1" applyNumberFormat="1" applyFont="1" applyFill="1" applyBorder="1"/>
    <xf numFmtId="0" fontId="0" fillId="3" borderId="4" xfId="0" applyFont="1" applyFill="1" applyBorder="1"/>
    <xf numFmtId="166" fontId="2" fillId="3" borderId="4" xfId="1" applyNumberFormat="1" applyFont="1" applyFill="1" applyBorder="1"/>
    <xf numFmtId="167" fontId="2" fillId="0" borderId="24" xfId="2" applyNumberFormat="1" applyFont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166" fontId="4" fillId="3" borderId="4" xfId="1" applyNumberFormat="1" applyFont="1" applyFill="1" applyBorder="1"/>
    <xf numFmtId="166" fontId="2" fillId="0" borderId="25" xfId="0" applyNumberFormat="1" applyFont="1" applyBorder="1"/>
    <xf numFmtId="166" fontId="2" fillId="0" borderId="0" xfId="0" applyNumberFormat="1" applyFont="1" applyBorder="1"/>
    <xf numFmtId="168" fontId="0" fillId="0" borderId="0" xfId="0" applyNumberFormat="1"/>
    <xf numFmtId="168" fontId="2" fillId="2" borderId="20" xfId="0" applyNumberFormat="1" applyFont="1" applyFill="1" applyBorder="1" applyAlignment="1">
      <alignment horizontal="center"/>
    </xf>
    <xf numFmtId="168" fontId="0" fillId="0" borderId="0" xfId="0" applyNumberFormat="1" applyFont="1"/>
    <xf numFmtId="168" fontId="2" fillId="0" borderId="0" xfId="0" applyNumberFormat="1" applyFont="1" applyBorder="1" applyAlignment="1">
      <alignment horizontal="center"/>
    </xf>
    <xf numFmtId="168" fontId="1" fillId="3" borderId="3" xfId="1" applyNumberFormat="1" applyFont="1" applyFill="1" applyBorder="1"/>
    <xf numFmtId="168" fontId="0" fillId="0" borderId="0" xfId="0" applyNumberFormat="1" applyFont="1" applyAlignment="1">
      <alignment horizontal="center"/>
    </xf>
    <xf numFmtId="168" fontId="2" fillId="2" borderId="22" xfId="0" applyNumberFormat="1" applyFont="1" applyFill="1" applyBorder="1" applyAlignment="1">
      <alignment horizontal="center"/>
    </xf>
    <xf numFmtId="168" fontId="0" fillId="3" borderId="3" xfId="1" applyNumberFormat="1" applyFont="1" applyFill="1" applyBorder="1"/>
    <xf numFmtId="168" fontId="2" fillId="0" borderId="0" xfId="0" applyNumberFormat="1" applyFont="1"/>
    <xf numFmtId="168" fontId="2" fillId="2" borderId="14" xfId="0" applyNumberFormat="1" applyFont="1" applyFill="1" applyBorder="1" applyAlignment="1">
      <alignment horizontal="center"/>
    </xf>
    <xf numFmtId="168" fontId="4" fillId="0" borderId="6" xfId="2" applyNumberFormat="1" applyFont="1" applyBorder="1" applyAlignment="1">
      <alignment horizontal="center"/>
    </xf>
    <xf numFmtId="0" fontId="2" fillId="0" borderId="25" xfId="0" applyFont="1" applyBorder="1"/>
    <xf numFmtId="167" fontId="3" fillId="0" borderId="0" xfId="2" applyNumberFormat="1" applyFont="1" applyFill="1" applyBorder="1" applyAlignment="1">
      <alignment horizontal="center"/>
    </xf>
    <xf numFmtId="168" fontId="10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25" xfId="0" applyFont="1" applyFill="1" applyBorder="1" applyAlignment="1">
      <alignment horizontal="center"/>
    </xf>
    <xf numFmtId="166" fontId="2" fillId="4" borderId="3" xfId="1" applyNumberFormat="1" applyFont="1" applyFill="1" applyBorder="1" applyAlignment="1">
      <alignment horizontal="center"/>
    </xf>
    <xf numFmtId="166" fontId="2" fillId="3" borderId="3" xfId="1" applyNumberFormat="1" applyFont="1" applyFill="1" applyBorder="1" applyAlignment="1">
      <alignment horizontal="center"/>
    </xf>
    <xf numFmtId="0" fontId="11" fillId="0" borderId="0" xfId="0" applyFont="1"/>
    <xf numFmtId="0" fontId="2" fillId="5" borderId="19" xfId="0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168" fontId="2" fillId="5" borderId="20" xfId="0" applyNumberFormat="1" applyFont="1" applyFill="1" applyBorder="1" applyAlignment="1">
      <alignment horizontal="center"/>
    </xf>
    <xf numFmtId="168" fontId="2" fillId="5" borderId="22" xfId="0" applyNumberFormat="1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0" fontId="2" fillId="5" borderId="9" xfId="0" applyFont="1" applyFill="1" applyBorder="1"/>
    <xf numFmtId="0" fontId="0" fillId="3" borderId="0" xfId="0" applyFont="1" applyFill="1" applyBorder="1"/>
    <xf numFmtId="0" fontId="0" fillId="3" borderId="2" xfId="0" applyFont="1" applyFill="1" applyBorder="1"/>
    <xf numFmtId="0" fontId="2" fillId="3" borderId="4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6" fontId="2" fillId="3" borderId="0" xfId="1" applyNumberFormat="1" applyFont="1" applyFill="1" applyBorder="1"/>
    <xf numFmtId="166" fontId="4" fillId="3" borderId="0" xfId="1" applyNumberFormat="1" applyFont="1" applyFill="1" applyBorder="1"/>
    <xf numFmtId="167" fontId="3" fillId="0" borderId="0" xfId="2" applyNumberFormat="1" applyFont="1" applyBorder="1" applyAlignment="1">
      <alignment horizontal="center"/>
    </xf>
    <xf numFmtId="0" fontId="0" fillId="3" borderId="1" xfId="0" applyFont="1" applyFill="1" applyBorder="1"/>
    <xf numFmtId="166" fontId="2" fillId="3" borderId="1" xfId="1" applyNumberFormat="1" applyFont="1" applyFill="1" applyBorder="1"/>
    <xf numFmtId="166" fontId="4" fillId="3" borderId="1" xfId="1" applyNumberFormat="1" applyFont="1" applyFill="1" applyBorder="1"/>
    <xf numFmtId="166" fontId="4" fillId="3" borderId="36" xfId="1" applyNumberFormat="1" applyFont="1" applyFill="1" applyBorder="1"/>
    <xf numFmtId="0" fontId="3" fillId="5" borderId="17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3" borderId="6" xfId="0" applyFont="1" applyFill="1" applyBorder="1"/>
    <xf numFmtId="166" fontId="2" fillId="3" borderId="6" xfId="1" applyNumberFormat="1" applyFont="1" applyFill="1" applyBorder="1"/>
    <xf numFmtId="166" fontId="4" fillId="3" borderId="6" xfId="1" applyNumberFormat="1" applyFont="1" applyFill="1" applyBorder="1"/>
    <xf numFmtId="167" fontId="3" fillId="0" borderId="17" xfId="2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5" xfId="0" applyFont="1" applyBorder="1"/>
    <xf numFmtId="168" fontId="0" fillId="3" borderId="4" xfId="1" applyNumberFormat="1" applyFont="1" applyFill="1" applyBorder="1"/>
    <xf numFmtId="168" fontId="0" fillId="3" borderId="1" xfId="1" applyNumberFormat="1" applyFont="1" applyFill="1" applyBorder="1"/>
    <xf numFmtId="168" fontId="0" fillId="3" borderId="0" xfId="1" applyNumberFormat="1" applyFont="1" applyFill="1" applyBorder="1"/>
    <xf numFmtId="168" fontId="0" fillId="3" borderId="6" xfId="1" applyNumberFormat="1" applyFont="1" applyFill="1" applyBorder="1"/>
    <xf numFmtId="167" fontId="3" fillId="3" borderId="24" xfId="2" applyNumberFormat="1" applyFont="1" applyFill="1" applyBorder="1" applyAlignment="1">
      <alignment horizontal="center"/>
    </xf>
    <xf numFmtId="169" fontId="2" fillId="3" borderId="35" xfId="0" applyNumberFormat="1" applyFont="1" applyFill="1" applyBorder="1"/>
    <xf numFmtId="169" fontId="12" fillId="3" borderId="1" xfId="0" applyNumberFormat="1" applyFont="1" applyFill="1" applyBorder="1"/>
    <xf numFmtId="169" fontId="13" fillId="3" borderId="5" xfId="0" applyNumberFormat="1" applyFont="1" applyFill="1" applyBorder="1"/>
    <xf numFmtId="169" fontId="2" fillId="3" borderId="39" xfId="0" applyNumberFormat="1" applyFont="1" applyFill="1" applyBorder="1"/>
    <xf numFmtId="169" fontId="2" fillId="3" borderId="1" xfId="0" applyNumberFormat="1" applyFont="1" applyFill="1" applyBorder="1"/>
    <xf numFmtId="0" fontId="2" fillId="3" borderId="23" xfId="0" quotePrefix="1" applyFont="1" applyFill="1" applyBorder="1" applyAlignment="1">
      <alignment horizontal="center"/>
    </xf>
    <xf numFmtId="0" fontId="0" fillId="3" borderId="1" xfId="0" applyFill="1" applyBorder="1"/>
    <xf numFmtId="0" fontId="14" fillId="3" borderId="1" xfId="0" applyFont="1" applyFill="1" applyBorder="1"/>
    <xf numFmtId="0" fontId="2" fillId="3" borderId="1" xfId="0" quotePrefix="1" applyFont="1" applyFill="1" applyBorder="1" applyAlignment="1">
      <alignment horizontal="center"/>
    </xf>
    <xf numFmtId="0" fontId="0" fillId="3" borderId="3" xfId="0" applyFill="1" applyBorder="1"/>
    <xf numFmtId="0" fontId="14" fillId="3" borderId="3" xfId="0" applyFont="1" applyFill="1" applyBorder="1"/>
    <xf numFmtId="0" fontId="15" fillId="3" borderId="1" xfId="0" applyFont="1" applyFill="1" applyBorder="1"/>
    <xf numFmtId="166" fontId="2" fillId="0" borderId="40" xfId="0" applyNumberFormat="1" applyFont="1" applyBorder="1"/>
    <xf numFmtId="0" fontId="2" fillId="5" borderId="20" xfId="0" applyNumberFormat="1" applyFont="1" applyFill="1" applyBorder="1" applyAlignment="1">
      <alignment horizontal="center"/>
    </xf>
    <xf numFmtId="0" fontId="2" fillId="0" borderId="4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6" borderId="25" xfId="0" applyFont="1" applyFill="1" applyBorder="1"/>
    <xf numFmtId="0" fontId="2" fillId="5" borderId="25" xfId="0" applyFont="1" applyFill="1" applyBorder="1" applyAlignment="1">
      <alignment horizontal="center"/>
    </xf>
    <xf numFmtId="167" fontId="3" fillId="6" borderId="24" xfId="2" applyNumberFormat="1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/>
    </xf>
    <xf numFmtId="166" fontId="2" fillId="3" borderId="1" xfId="1" applyNumberFormat="1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NumberFormat="1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168" fontId="2" fillId="7" borderId="20" xfId="0" applyNumberFormat="1" applyFont="1" applyFill="1" applyBorder="1" applyAlignment="1">
      <alignment horizontal="center"/>
    </xf>
    <xf numFmtId="0" fontId="17" fillId="0" borderId="1" xfId="0" quotePrefix="1" applyFont="1" applyBorder="1" applyAlignment="1">
      <alignment horizontal="center"/>
    </xf>
    <xf numFmtId="0" fontId="0" fillId="0" borderId="1" xfId="0" applyBorder="1"/>
    <xf numFmtId="41" fontId="2" fillId="0" borderId="1" xfId="3" applyFont="1" applyBorder="1"/>
    <xf numFmtId="41" fontId="4" fillId="0" borderId="1" xfId="3" applyFont="1" applyBorder="1"/>
    <xf numFmtId="41" fontId="13" fillId="0" borderId="5" xfId="3" applyFont="1" applyBorder="1"/>
    <xf numFmtId="41" fontId="13" fillId="0" borderId="1" xfId="3" applyFont="1" applyBorder="1" applyAlignment="1">
      <alignment horizontal="center"/>
    </xf>
    <xf numFmtId="41" fontId="18" fillId="0" borderId="41" xfId="3" applyFont="1" applyBorder="1"/>
    <xf numFmtId="0" fontId="0" fillId="6" borderId="1" xfId="0" applyFill="1" applyBorder="1"/>
    <xf numFmtId="41" fontId="2" fillId="6" borderId="1" xfId="3" applyFont="1" applyFill="1" applyBorder="1"/>
    <xf numFmtId="41" fontId="4" fillId="6" borderId="1" xfId="3" applyFont="1" applyFill="1" applyBorder="1"/>
    <xf numFmtId="41" fontId="13" fillId="6" borderId="5" xfId="3" applyFont="1" applyFill="1" applyBorder="1"/>
    <xf numFmtId="41" fontId="13" fillId="6" borderId="1" xfId="3" applyFont="1" applyFill="1" applyBorder="1" applyAlignment="1">
      <alignment horizontal="center"/>
    </xf>
    <xf numFmtId="41" fontId="18" fillId="9" borderId="41" xfId="3" applyFont="1" applyFill="1" applyBorder="1"/>
    <xf numFmtId="0" fontId="0" fillId="9" borderId="1" xfId="0" applyFill="1" applyBorder="1"/>
    <xf numFmtId="41" fontId="2" fillId="9" borderId="1" xfId="3" applyFont="1" applyFill="1" applyBorder="1"/>
    <xf numFmtId="41" fontId="4" fillId="9" borderId="1" xfId="3" applyFont="1" applyFill="1" applyBorder="1"/>
    <xf numFmtId="41" fontId="13" fillId="9" borderId="5" xfId="3" applyFont="1" applyFill="1" applyBorder="1"/>
    <xf numFmtId="41" fontId="13" fillId="9" borderId="1" xfId="3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" fillId="3" borderId="3" xfId="0" applyNumberFormat="1" applyFont="1" applyFill="1" applyBorder="1" applyAlignment="1">
      <alignment horizontal="left"/>
    </xf>
    <xf numFmtId="16" fontId="2" fillId="3" borderId="3" xfId="0" applyNumberFormat="1" applyFont="1" applyFill="1" applyBorder="1" applyAlignment="1">
      <alignment horizontal="left"/>
    </xf>
    <xf numFmtId="41" fontId="3" fillId="0" borderId="41" xfId="3" applyFont="1" applyBorder="1"/>
    <xf numFmtId="41" fontId="3" fillId="9" borderId="41" xfId="3" applyFont="1" applyFill="1" applyBorder="1"/>
    <xf numFmtId="0" fontId="16" fillId="6" borderId="26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6" fillId="6" borderId="28" xfId="0" applyFont="1" applyFill="1" applyBorder="1" applyAlignment="1">
      <alignment horizontal="center"/>
    </xf>
    <xf numFmtId="0" fontId="16" fillId="6" borderId="31" xfId="0" applyFont="1" applyFill="1" applyBorder="1" applyAlignment="1">
      <alignment horizontal="center"/>
    </xf>
    <xf numFmtId="0" fontId="16" fillId="6" borderId="32" xfId="0" applyFont="1" applyFill="1" applyBorder="1" applyAlignment="1">
      <alignment horizontal="center"/>
    </xf>
    <xf numFmtId="0" fontId="16" fillId="6" borderId="33" xfId="0" applyFont="1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34" xfId="0" applyFont="1" applyFill="1" applyBorder="1" applyAlignment="1">
      <alignment horizontal="center"/>
    </xf>
    <xf numFmtId="0" fontId="7" fillId="5" borderId="35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41" fontId="2" fillId="7" borderId="9" xfId="3" applyFont="1" applyFill="1" applyBorder="1" applyAlignment="1">
      <alignment horizontal="center"/>
    </xf>
    <xf numFmtId="41" fontId="2" fillId="7" borderId="10" xfId="3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0" fillId="0" borderId="5" xfId="0" applyBorder="1"/>
    <xf numFmtId="41" fontId="17" fillId="0" borderId="1" xfId="3" applyFont="1" applyBorder="1"/>
    <xf numFmtId="41" fontId="4" fillId="0" borderId="35" xfId="3" applyFont="1" applyBorder="1"/>
    <xf numFmtId="41" fontId="2" fillId="0" borderId="5" xfId="3" applyFont="1" applyBorder="1"/>
    <xf numFmtId="41" fontId="2" fillId="0" borderId="1" xfId="3" applyFont="1" applyBorder="1" applyAlignment="1">
      <alignment horizontal="center"/>
    </xf>
    <xf numFmtId="41" fontId="3" fillId="0" borderId="1" xfId="3" applyFont="1" applyBorder="1"/>
  </cellXfs>
  <cellStyles count="4">
    <cellStyle name="Millares" xfId="1" builtinId="3"/>
    <cellStyle name="Millares [0]" xfId="3" builtinId="6"/>
    <cellStyle name="Moneda" xfId="2" builtinId="4"/>
    <cellStyle name="Normal" xfId="0" builtinId="0"/>
  </cellStyles>
  <dxfs count="63"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71AF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12</xdr:row>
      <xdr:rowOff>28575</xdr:rowOff>
    </xdr:from>
    <xdr:to>
      <xdr:col>6</xdr:col>
      <xdr:colOff>66675</xdr:colOff>
      <xdr:row>17</xdr:row>
      <xdr:rowOff>133350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C46CF5A-4768-4671-A509-106004E237FD}"/>
            </a:ext>
          </a:extLst>
        </xdr:cNvPr>
        <xdr:cNvSpPr/>
      </xdr:nvSpPr>
      <xdr:spPr>
        <a:xfrm>
          <a:off x="2390775" y="2390775"/>
          <a:ext cx="2247900" cy="105727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600" b="1">
              <a:solidFill>
                <a:sysClr val="windowText" lastClr="000000"/>
              </a:solidFill>
            </a:rPr>
            <a:t>LAS</a:t>
          </a:r>
          <a:r>
            <a:rPr lang="es-CL" sz="1600" b="1" baseline="0">
              <a:solidFill>
                <a:sysClr val="windowText" lastClr="000000"/>
              </a:solidFill>
            </a:rPr>
            <a:t> AMERICAS, PICA</a:t>
          </a:r>
          <a:endParaRPr lang="es-CL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638175</xdr:colOff>
      <xdr:row>3</xdr:row>
      <xdr:rowOff>66675</xdr:rowOff>
    </xdr:from>
    <xdr:to>
      <xdr:col>11</xdr:col>
      <xdr:colOff>371475</xdr:colOff>
      <xdr:row>10</xdr:row>
      <xdr:rowOff>123825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6947345-3A1C-492A-830E-825119FC1C6C}"/>
            </a:ext>
          </a:extLst>
        </xdr:cNvPr>
        <xdr:cNvSpPr/>
      </xdr:nvSpPr>
      <xdr:spPr>
        <a:xfrm>
          <a:off x="6734175" y="704850"/>
          <a:ext cx="2019300" cy="140017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600" b="1" baseline="0">
              <a:solidFill>
                <a:sysClr val="windowText" lastClr="000000"/>
              </a:solidFill>
            </a:rPr>
            <a:t>KIWILAND, PICA</a:t>
          </a:r>
        </a:p>
        <a:p>
          <a:pPr algn="ctr"/>
          <a:r>
            <a:rPr lang="es-CL" sz="1600" b="1" baseline="0">
              <a:solidFill>
                <a:sysClr val="windowText" lastClr="000000"/>
              </a:solidFill>
            </a:rPr>
            <a:t>LOTE </a:t>
          </a:r>
        </a:p>
        <a:p>
          <a:pPr algn="ctr"/>
          <a:r>
            <a:rPr lang="es-CL" sz="1600" b="1" baseline="0">
              <a:solidFill>
                <a:sysClr val="windowText" lastClr="000000"/>
              </a:solidFill>
            </a:rPr>
            <a:t>3-7-8-9-10-11</a:t>
          </a:r>
        </a:p>
        <a:p>
          <a:pPr algn="ctr"/>
          <a:endParaRPr lang="es-CL" sz="800" b="1">
            <a:solidFill>
              <a:srgbClr val="002060"/>
            </a:solidFill>
          </a:endParaRPr>
        </a:p>
        <a:p>
          <a:pPr algn="ctr"/>
          <a:r>
            <a:rPr lang="es-CL" sz="1800" b="1">
              <a:solidFill>
                <a:srgbClr val="002060"/>
              </a:solidFill>
            </a:rPr>
            <a:t>Subdivision</a:t>
          </a:r>
        </a:p>
      </xdr:txBody>
    </xdr:sp>
    <xdr:clientData/>
  </xdr:twoCellAnchor>
  <xdr:twoCellAnchor>
    <xdr:from>
      <xdr:col>7</xdr:col>
      <xdr:colOff>161924</xdr:colOff>
      <xdr:row>12</xdr:row>
      <xdr:rowOff>180975</xdr:rowOff>
    </xdr:from>
    <xdr:to>
      <xdr:col>10</xdr:col>
      <xdr:colOff>304799</xdr:colOff>
      <xdr:row>15</xdr:row>
      <xdr:rowOff>142875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404162B-13C4-4528-9BF4-C8AA80898407}"/>
            </a:ext>
          </a:extLst>
        </xdr:cNvPr>
        <xdr:cNvSpPr/>
      </xdr:nvSpPr>
      <xdr:spPr>
        <a:xfrm>
          <a:off x="5495924" y="2543175"/>
          <a:ext cx="2428875" cy="5334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600" b="1" baseline="0">
              <a:solidFill>
                <a:sysClr val="windowText" lastClr="000000"/>
              </a:solidFill>
            </a:rPr>
            <a:t>MEMOS</a:t>
          </a:r>
        </a:p>
        <a:p>
          <a:pPr algn="l"/>
          <a:endParaRPr lang="es-CL" sz="1100"/>
        </a:p>
      </xdr:txBody>
    </xdr:sp>
    <xdr:clientData/>
  </xdr:twoCellAnchor>
  <xdr:twoCellAnchor>
    <xdr:from>
      <xdr:col>1</xdr:col>
      <xdr:colOff>733424</xdr:colOff>
      <xdr:row>3</xdr:row>
      <xdr:rowOff>133350</xdr:rowOff>
    </xdr:from>
    <xdr:to>
      <xdr:col>4</xdr:col>
      <xdr:colOff>581025</xdr:colOff>
      <xdr:row>10</xdr:row>
      <xdr:rowOff>133351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8ED942-B3E9-45A9-80CA-7F5B69000EC5}"/>
            </a:ext>
          </a:extLst>
        </xdr:cNvPr>
        <xdr:cNvSpPr/>
      </xdr:nvSpPr>
      <xdr:spPr>
        <a:xfrm>
          <a:off x="1495424" y="771525"/>
          <a:ext cx="2133601" cy="134302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600" b="1">
              <a:solidFill>
                <a:schemeClr val="tx1"/>
              </a:solidFill>
            </a:rPr>
            <a:t>MIRAFLORES, PICA</a:t>
          </a:r>
        </a:p>
        <a:p>
          <a:pPr algn="ctr"/>
          <a:r>
            <a:rPr lang="es-CL" sz="1400" b="1">
              <a:solidFill>
                <a:schemeClr val="tx1"/>
              </a:solidFill>
            </a:rPr>
            <a:t>LOTE</a:t>
          </a:r>
          <a:r>
            <a:rPr lang="es-CL" sz="1400" b="1" baseline="0">
              <a:solidFill>
                <a:schemeClr val="tx1"/>
              </a:solidFill>
            </a:rPr>
            <a:t> 33</a:t>
          </a:r>
          <a:endParaRPr lang="es-CL" sz="1400" b="1">
            <a:solidFill>
              <a:schemeClr val="tx1"/>
            </a:solidFill>
          </a:endParaRPr>
        </a:p>
        <a:p>
          <a:pPr algn="ctr"/>
          <a:endParaRPr lang="es-CL" sz="800" b="1">
            <a:solidFill>
              <a:srgbClr val="002060"/>
            </a:solidFill>
          </a:endParaRPr>
        </a:p>
        <a:p>
          <a:pPr algn="ctr"/>
          <a:endParaRPr lang="es-CL" sz="800" b="1">
            <a:solidFill>
              <a:srgbClr val="002060"/>
            </a:solidFill>
          </a:endParaRPr>
        </a:p>
        <a:p>
          <a:pPr algn="ctr"/>
          <a:endParaRPr lang="es-CL" sz="800" b="1">
            <a:solidFill>
              <a:srgbClr val="002060"/>
            </a:solidFill>
          </a:endParaRPr>
        </a:p>
        <a:p>
          <a:pPr algn="ctr"/>
          <a:r>
            <a:rPr lang="es-CL" sz="1800" b="1">
              <a:solidFill>
                <a:srgbClr val="002060"/>
              </a:solidFill>
            </a:rPr>
            <a:t>Subdivision</a:t>
          </a:r>
        </a:p>
      </xdr:txBody>
    </xdr:sp>
    <xdr:clientData/>
  </xdr:twoCellAnchor>
  <xdr:twoCellAnchor>
    <xdr:from>
      <xdr:col>5</xdr:col>
      <xdr:colOff>190500</xdr:colOff>
      <xdr:row>3</xdr:row>
      <xdr:rowOff>85727</xdr:rowOff>
    </xdr:from>
    <xdr:to>
      <xdr:col>8</xdr:col>
      <xdr:colOff>266700</xdr:colOff>
      <xdr:row>10</xdr:row>
      <xdr:rowOff>123826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216EB9B-CC9F-4A3B-9B18-C0130595B113}"/>
            </a:ext>
          </a:extLst>
        </xdr:cNvPr>
        <xdr:cNvSpPr/>
      </xdr:nvSpPr>
      <xdr:spPr>
        <a:xfrm>
          <a:off x="4000500" y="723902"/>
          <a:ext cx="2362200" cy="1381124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600" b="1">
              <a:solidFill>
                <a:sysClr val="windowText" lastClr="000000"/>
              </a:solidFill>
            </a:rPr>
            <a:t>MIRAFLORES, PICA</a:t>
          </a:r>
        </a:p>
        <a:p>
          <a:pPr algn="ctr"/>
          <a:r>
            <a:rPr lang="es-CL" sz="1400" b="1" baseline="0">
              <a:solidFill>
                <a:sysClr val="windowText" lastClr="000000"/>
              </a:solidFill>
            </a:rPr>
            <a:t> </a:t>
          </a:r>
          <a:r>
            <a:rPr lang="es-CL" sz="1400" b="1">
              <a:solidFill>
                <a:sysClr val="windowText" lastClr="000000"/>
              </a:solidFill>
            </a:rPr>
            <a:t>LOTES</a:t>
          </a:r>
        </a:p>
        <a:p>
          <a:pPr algn="l"/>
          <a:r>
            <a:rPr lang="es-CL" sz="1300" b="1">
              <a:solidFill>
                <a:sysClr val="windowText" lastClr="000000"/>
              </a:solidFill>
            </a:rPr>
            <a:t>G 52-1/</a:t>
          </a:r>
          <a:r>
            <a:rPr lang="es-CL" sz="1300" b="1" baseline="0">
              <a:solidFill>
                <a:sysClr val="windowText" lastClr="000000"/>
              </a:solidFill>
            </a:rPr>
            <a:t>52-7 G 54-1/54-7</a:t>
          </a:r>
        </a:p>
        <a:p>
          <a:pPr algn="ctr"/>
          <a:r>
            <a:rPr lang="es-CL" sz="1300" b="1" baseline="0">
              <a:solidFill>
                <a:sysClr val="windowText" lastClr="000000"/>
              </a:solidFill>
            </a:rPr>
            <a:t>G 56-1/G 58-1</a:t>
          </a:r>
        </a:p>
        <a:p>
          <a:pPr algn="ctr"/>
          <a:r>
            <a:rPr lang="es-CL" sz="18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Subdivision</a:t>
          </a:r>
          <a:r>
            <a:rPr lang="es-CL" sz="18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CL" sz="1800" b="1" baseline="0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171451</xdr:colOff>
      <xdr:row>0</xdr:row>
      <xdr:rowOff>133350</xdr:rowOff>
    </xdr:from>
    <xdr:to>
      <xdr:col>10</xdr:col>
      <xdr:colOff>190501</xdr:colOff>
      <xdr:row>2</xdr:row>
      <xdr:rowOff>19050</xdr:rowOff>
    </xdr:to>
    <xdr:sp macro="" textlink="">
      <xdr:nvSpPr>
        <xdr:cNvPr id="2" name="1 Elipse">
          <a:extLst>
            <a:ext uri="{FF2B5EF4-FFF2-40B4-BE49-F238E27FC236}">
              <a16:creationId xmlns:a16="http://schemas.microsoft.com/office/drawing/2014/main" id="{2A62B8A7-169A-4633-9DD2-7E1D5DCBDB8A}"/>
            </a:ext>
          </a:extLst>
        </xdr:cNvPr>
        <xdr:cNvSpPr/>
      </xdr:nvSpPr>
      <xdr:spPr>
        <a:xfrm>
          <a:off x="6496051" y="133350"/>
          <a:ext cx="781050" cy="352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0</xdr:row>
      <xdr:rowOff>57151</xdr:rowOff>
    </xdr:from>
    <xdr:to>
      <xdr:col>11</xdr:col>
      <xdr:colOff>123825</xdr:colOff>
      <xdr:row>1</xdr:row>
      <xdr:rowOff>114301</xdr:rowOff>
    </xdr:to>
    <xdr:sp macro="[0]!PANEL" textlink="">
      <xdr:nvSpPr>
        <xdr:cNvPr id="2" name="1 Elip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715250" y="57151"/>
          <a:ext cx="790575" cy="323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</xdr:colOff>
      <xdr:row>0</xdr:row>
      <xdr:rowOff>219076</xdr:rowOff>
    </xdr:from>
    <xdr:to>
      <xdr:col>10</xdr:col>
      <xdr:colOff>161924</xdr:colOff>
      <xdr:row>2</xdr:row>
      <xdr:rowOff>114301</xdr:rowOff>
    </xdr:to>
    <xdr:sp macro="" textlink="">
      <xdr:nvSpPr>
        <xdr:cNvPr id="2" name="1 Elips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781799" y="219076"/>
          <a:ext cx="942975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95250</xdr:colOff>
      <xdr:row>2</xdr:row>
      <xdr:rowOff>171450</xdr:rowOff>
    </xdr:to>
    <xdr:sp macro="" textlink="">
      <xdr:nvSpPr>
        <xdr:cNvPr id="2" name="1 Elipse">
          <a:extLst>
            <a:ext uri="{FF2B5EF4-FFF2-40B4-BE49-F238E27FC236}">
              <a16:creationId xmlns:a16="http://schemas.microsoft.com/office/drawing/2014/main" id="{79B67827-80E6-4622-A0A9-2D445685C8F6}"/>
            </a:ext>
          </a:extLst>
        </xdr:cNvPr>
        <xdr:cNvSpPr/>
      </xdr:nvSpPr>
      <xdr:spPr>
        <a:xfrm>
          <a:off x="6858000" y="190500"/>
          <a:ext cx="857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114300</xdr:rowOff>
    </xdr:from>
    <xdr:to>
      <xdr:col>11</xdr:col>
      <xdr:colOff>904875</xdr:colOff>
      <xdr:row>1</xdr:row>
      <xdr:rowOff>171450</xdr:rowOff>
    </xdr:to>
    <xdr:sp macro="[0]!PANEL" textlink="">
      <xdr:nvSpPr>
        <xdr:cNvPr id="4" name="3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601075" y="114300"/>
          <a:ext cx="84772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  <xdr:twoCellAnchor>
    <xdr:from>
      <xdr:col>10</xdr:col>
      <xdr:colOff>392906</xdr:colOff>
      <xdr:row>14</xdr:row>
      <xdr:rowOff>190499</xdr:rowOff>
    </xdr:from>
    <xdr:to>
      <xdr:col>11</xdr:col>
      <xdr:colOff>488156</xdr:colOff>
      <xdr:row>16</xdr:row>
      <xdr:rowOff>123824</xdr:rowOff>
    </xdr:to>
    <xdr:sp macro="" textlink="">
      <xdr:nvSpPr>
        <xdr:cNvPr id="3" name="1 Elipse">
          <a:extLst>
            <a:ext uri="{FF2B5EF4-FFF2-40B4-BE49-F238E27FC236}">
              <a16:creationId xmlns:a16="http://schemas.microsoft.com/office/drawing/2014/main" id="{75695BD6-D9F0-4EFE-8507-45EE5B9B9DA2}"/>
            </a:ext>
          </a:extLst>
        </xdr:cNvPr>
        <xdr:cNvSpPr/>
      </xdr:nvSpPr>
      <xdr:spPr>
        <a:xfrm>
          <a:off x="8191500" y="3024187"/>
          <a:ext cx="857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  <xdr:twoCellAnchor>
    <xdr:from>
      <xdr:col>10</xdr:col>
      <xdr:colOff>333375</xdr:colOff>
      <xdr:row>19</xdr:row>
      <xdr:rowOff>35719</xdr:rowOff>
    </xdr:from>
    <xdr:to>
      <xdr:col>12</xdr:col>
      <xdr:colOff>442913</xdr:colOff>
      <xdr:row>23</xdr:row>
      <xdr:rowOff>169069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88BA04E-FB23-47EA-8ED8-13605B837CFE}"/>
            </a:ext>
          </a:extLst>
        </xdr:cNvPr>
        <xdr:cNvSpPr/>
      </xdr:nvSpPr>
      <xdr:spPr>
        <a:xfrm>
          <a:off x="8131969" y="3905250"/>
          <a:ext cx="1847850" cy="94297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600" b="1">
              <a:solidFill>
                <a:sysClr val="windowText" lastClr="000000"/>
              </a:solidFill>
            </a:rPr>
            <a:t>LAS</a:t>
          </a:r>
          <a:r>
            <a:rPr lang="es-CL" sz="1600" b="1" baseline="0">
              <a:solidFill>
                <a:sysClr val="windowText" lastClr="000000"/>
              </a:solidFill>
            </a:rPr>
            <a:t> AMERICA</a:t>
          </a:r>
          <a:endParaRPr lang="es-CL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gos%202018-2019-2020-2020%20BY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L"/>
      <sheetName val="2018"/>
      <sheetName val="2019"/>
      <sheetName val="2020"/>
      <sheetName val="2020 BYD"/>
    </sheetNames>
    <sheetDataSet>
      <sheetData sheetId="0" refreshError="1"/>
      <sheetData sheetId="1" refreshError="1"/>
      <sheetData sheetId="2" refreshError="1"/>
      <sheetData sheetId="3">
        <row r="1">
          <cell r="N1" t="str">
            <v>No Concretado</v>
          </cell>
        </row>
        <row r="2">
          <cell r="N2" t="str">
            <v>PAGADO</v>
          </cell>
        </row>
        <row r="3">
          <cell r="N3" t="str">
            <v>Lote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L19"/>
  <sheetViews>
    <sheetView workbookViewId="0">
      <selection activeCell="B3" sqref="B3:L19"/>
    </sheetView>
  </sheetViews>
  <sheetFormatPr baseColWidth="10" defaultRowHeight="15" x14ac:dyDescent="0.25"/>
  <sheetData>
    <row r="1" spans="2:12" ht="20.25" customHeight="1" x14ac:dyDescent="0.25">
      <c r="B1" s="154" t="s">
        <v>205</v>
      </c>
      <c r="C1" s="155"/>
      <c r="D1" s="155"/>
      <c r="E1" s="155"/>
      <c r="F1" s="155"/>
      <c r="G1" s="155"/>
      <c r="H1" s="155"/>
      <c r="I1" s="155"/>
      <c r="J1" s="155"/>
      <c r="K1" s="155"/>
      <c r="L1" s="156"/>
    </row>
    <row r="2" spans="2:12" ht="15" customHeight="1" thickBot="1" x14ac:dyDescent="0.3">
      <c r="B2" s="157"/>
      <c r="C2" s="158"/>
      <c r="D2" s="158"/>
      <c r="E2" s="158"/>
      <c r="F2" s="158"/>
      <c r="G2" s="158"/>
      <c r="H2" s="158"/>
      <c r="I2" s="158"/>
      <c r="J2" s="158"/>
      <c r="K2" s="158"/>
      <c r="L2" s="159"/>
    </row>
    <row r="3" spans="2:12" ht="15" customHeight="1" x14ac:dyDescent="0.25">
      <c r="B3" s="160"/>
      <c r="C3" s="161"/>
      <c r="D3" s="161"/>
      <c r="E3" s="161"/>
      <c r="F3" s="161"/>
      <c r="G3" s="161"/>
      <c r="H3" s="161"/>
      <c r="I3" s="161"/>
      <c r="J3" s="161"/>
      <c r="K3" s="161"/>
      <c r="L3" s="162"/>
    </row>
    <row r="4" spans="2:12" ht="15.75" customHeight="1" x14ac:dyDescent="0.25">
      <c r="B4" s="163"/>
      <c r="C4" s="164"/>
      <c r="D4" s="164"/>
      <c r="E4" s="164"/>
      <c r="F4" s="164"/>
      <c r="G4" s="164"/>
      <c r="H4" s="164"/>
      <c r="I4" s="164"/>
      <c r="J4" s="164"/>
      <c r="K4" s="164"/>
      <c r="L4" s="165"/>
    </row>
    <row r="5" spans="2:12" x14ac:dyDescent="0.25">
      <c r="B5" s="163"/>
      <c r="C5" s="164"/>
      <c r="D5" s="164"/>
      <c r="E5" s="164"/>
      <c r="F5" s="164"/>
      <c r="G5" s="164"/>
      <c r="H5" s="164"/>
      <c r="I5" s="164"/>
      <c r="J5" s="164"/>
      <c r="K5" s="164"/>
      <c r="L5" s="165"/>
    </row>
    <row r="6" spans="2:12" x14ac:dyDescent="0.25"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5"/>
    </row>
    <row r="7" spans="2:12" x14ac:dyDescent="0.25">
      <c r="B7" s="163"/>
      <c r="C7" s="164"/>
      <c r="D7" s="164"/>
      <c r="E7" s="164"/>
      <c r="F7" s="164"/>
      <c r="G7" s="164"/>
      <c r="H7" s="164"/>
      <c r="I7" s="164"/>
      <c r="J7" s="164"/>
      <c r="K7" s="164"/>
      <c r="L7" s="165"/>
    </row>
    <row r="8" spans="2:12" x14ac:dyDescent="0.25">
      <c r="B8" s="163"/>
      <c r="C8" s="164"/>
      <c r="D8" s="164"/>
      <c r="E8" s="164"/>
      <c r="F8" s="164"/>
      <c r="G8" s="164"/>
      <c r="H8" s="164"/>
      <c r="I8" s="164"/>
      <c r="J8" s="164"/>
      <c r="K8" s="164"/>
      <c r="L8" s="165"/>
    </row>
    <row r="9" spans="2:12" x14ac:dyDescent="0.25"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5"/>
    </row>
    <row r="10" spans="2:12" x14ac:dyDescent="0.25">
      <c r="B10" s="163"/>
      <c r="C10" s="164"/>
      <c r="D10" s="164"/>
      <c r="E10" s="164"/>
      <c r="F10" s="164"/>
      <c r="G10" s="164"/>
      <c r="H10" s="164"/>
      <c r="I10" s="164"/>
      <c r="J10" s="164"/>
      <c r="K10" s="164"/>
      <c r="L10" s="165"/>
    </row>
    <row r="11" spans="2:12" x14ac:dyDescent="0.25">
      <c r="B11" s="163"/>
      <c r="C11" s="164"/>
      <c r="D11" s="164"/>
      <c r="E11" s="164"/>
      <c r="F11" s="164"/>
      <c r="G11" s="164"/>
      <c r="H11" s="164"/>
      <c r="I11" s="164"/>
      <c r="J11" s="164"/>
      <c r="K11" s="164"/>
      <c r="L11" s="165"/>
    </row>
    <row r="12" spans="2:12" x14ac:dyDescent="0.25">
      <c r="B12" s="163"/>
      <c r="C12" s="164"/>
      <c r="D12" s="164"/>
      <c r="E12" s="164"/>
      <c r="F12" s="164"/>
      <c r="G12" s="164"/>
      <c r="H12" s="164"/>
      <c r="I12" s="164"/>
      <c r="J12" s="164"/>
      <c r="K12" s="164"/>
      <c r="L12" s="165"/>
    </row>
    <row r="13" spans="2:12" x14ac:dyDescent="0.25">
      <c r="B13" s="163"/>
      <c r="C13" s="164"/>
      <c r="D13" s="164"/>
      <c r="E13" s="164"/>
      <c r="F13" s="164"/>
      <c r="G13" s="164"/>
      <c r="H13" s="164"/>
      <c r="I13" s="164"/>
      <c r="J13" s="164"/>
      <c r="K13" s="164"/>
      <c r="L13" s="165"/>
    </row>
    <row r="14" spans="2:12" x14ac:dyDescent="0.25">
      <c r="B14" s="163"/>
      <c r="C14" s="164"/>
      <c r="D14" s="164"/>
      <c r="E14" s="164"/>
      <c r="F14" s="164"/>
      <c r="G14" s="164"/>
      <c r="H14" s="164"/>
      <c r="I14" s="164"/>
      <c r="J14" s="164"/>
      <c r="K14" s="164"/>
      <c r="L14" s="165"/>
    </row>
    <row r="15" spans="2:12" x14ac:dyDescent="0.25">
      <c r="B15" s="163"/>
      <c r="C15" s="164"/>
      <c r="D15" s="164"/>
      <c r="E15" s="164"/>
      <c r="F15" s="164"/>
      <c r="G15" s="164"/>
      <c r="H15" s="164"/>
      <c r="I15" s="164"/>
      <c r="J15" s="164"/>
      <c r="K15" s="164"/>
      <c r="L15" s="165"/>
    </row>
    <row r="16" spans="2:12" x14ac:dyDescent="0.25">
      <c r="B16" s="163"/>
      <c r="C16" s="164"/>
      <c r="D16" s="164"/>
      <c r="E16" s="164"/>
      <c r="F16" s="164"/>
      <c r="G16" s="164"/>
      <c r="H16" s="164"/>
      <c r="I16" s="164"/>
      <c r="J16" s="164"/>
      <c r="K16" s="164"/>
      <c r="L16" s="165"/>
    </row>
    <row r="17" spans="2:12" x14ac:dyDescent="0.25">
      <c r="B17" s="163"/>
      <c r="C17" s="164"/>
      <c r="D17" s="164"/>
      <c r="E17" s="164"/>
      <c r="F17" s="164"/>
      <c r="G17" s="164"/>
      <c r="H17" s="164"/>
      <c r="I17" s="164"/>
      <c r="J17" s="164"/>
      <c r="K17" s="164"/>
      <c r="L17" s="165"/>
    </row>
    <row r="18" spans="2:12" x14ac:dyDescent="0.25">
      <c r="B18" s="163"/>
      <c r="C18" s="164"/>
      <c r="D18" s="164"/>
      <c r="E18" s="164"/>
      <c r="F18" s="164"/>
      <c r="G18" s="164"/>
      <c r="H18" s="164"/>
      <c r="I18" s="164"/>
      <c r="J18" s="164"/>
      <c r="K18" s="164"/>
      <c r="L18" s="165"/>
    </row>
    <row r="19" spans="2:12" ht="15.75" thickBot="1" x14ac:dyDescent="0.3">
      <c r="B19" s="166"/>
      <c r="C19" s="167"/>
      <c r="D19" s="167"/>
      <c r="E19" s="167"/>
      <c r="F19" s="167"/>
      <c r="G19" s="167"/>
      <c r="H19" s="167"/>
      <c r="I19" s="167"/>
      <c r="J19" s="167"/>
      <c r="K19" s="167"/>
      <c r="L19" s="168"/>
    </row>
  </sheetData>
  <mergeCells count="2">
    <mergeCell ref="B1:L2"/>
    <mergeCell ref="B3:L1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L64"/>
  <sheetViews>
    <sheetView topLeftCell="A55" zoomScaleNormal="100" workbookViewId="0">
      <selection activeCell="I79" sqref="I79"/>
    </sheetView>
  </sheetViews>
  <sheetFormatPr baseColWidth="10" defaultRowHeight="15" x14ac:dyDescent="0.25"/>
  <cols>
    <col min="1" max="1" width="17.7109375" customWidth="1"/>
    <col min="2" max="2" width="7.5703125" customWidth="1"/>
    <col min="3" max="3" width="10.7109375" customWidth="1"/>
    <col min="4" max="4" width="10.7109375" style="40" customWidth="1"/>
    <col min="5" max="5" width="8.7109375" style="40" customWidth="1"/>
    <col min="6" max="6" width="10.7109375" customWidth="1"/>
    <col min="7" max="7" width="8.7109375" style="40" customWidth="1"/>
    <col min="8" max="8" width="10.7109375" customWidth="1"/>
    <col min="9" max="9" width="10.5703125" customWidth="1"/>
  </cols>
  <sheetData>
    <row r="1" spans="1:12" ht="21.75" thickBot="1" x14ac:dyDescent="0.4">
      <c r="A1" s="173" t="s">
        <v>74</v>
      </c>
      <c r="B1" s="174"/>
      <c r="C1" s="174"/>
      <c r="D1" s="174"/>
      <c r="E1" s="174"/>
      <c r="F1" s="174"/>
      <c r="G1" s="174"/>
      <c r="H1" s="174"/>
      <c r="I1" s="175"/>
      <c r="L1" s="59" t="s">
        <v>5</v>
      </c>
    </row>
    <row r="2" spans="1:12" ht="15.75" thickBot="1" x14ac:dyDescent="0.3"/>
    <row r="3" spans="1:12" ht="15.75" thickBot="1" x14ac:dyDescent="0.3">
      <c r="A3" s="63" t="s">
        <v>12</v>
      </c>
      <c r="B3" s="64" t="s">
        <v>36</v>
      </c>
      <c r="C3" s="64" t="s">
        <v>37</v>
      </c>
      <c r="D3" s="68" t="s">
        <v>0</v>
      </c>
      <c r="E3" s="42"/>
      <c r="F3" s="169" t="s">
        <v>77</v>
      </c>
      <c r="G3" s="170"/>
      <c r="H3" s="23"/>
      <c r="I3" s="23"/>
    </row>
    <row r="4" spans="1:12" ht="15.75" thickBot="1" x14ac:dyDescent="0.3">
      <c r="A4" s="24" t="s">
        <v>76</v>
      </c>
      <c r="B4" s="25">
        <v>10</v>
      </c>
      <c r="C4" s="25" t="s">
        <v>75</v>
      </c>
      <c r="D4" s="26"/>
      <c r="E4" s="43"/>
      <c r="F4" s="23"/>
      <c r="G4" s="45"/>
      <c r="H4" s="23"/>
      <c r="I4" s="23"/>
    </row>
    <row r="5" spans="1:12" ht="15.75" thickBot="1" x14ac:dyDescent="0.3">
      <c r="A5" s="63" t="s">
        <v>4</v>
      </c>
      <c r="B5" s="64" t="s">
        <v>13</v>
      </c>
      <c r="C5" s="64" t="s">
        <v>1</v>
      </c>
      <c r="D5" s="64" t="s">
        <v>14</v>
      </c>
      <c r="E5" s="65" t="s">
        <v>0</v>
      </c>
      <c r="F5" s="64" t="s">
        <v>15</v>
      </c>
      <c r="G5" s="66" t="s">
        <v>0</v>
      </c>
      <c r="H5" s="67" t="s">
        <v>9</v>
      </c>
      <c r="I5" s="68" t="s">
        <v>3</v>
      </c>
      <c r="J5" s="69" t="s">
        <v>2</v>
      </c>
    </row>
    <row r="6" spans="1:12" ht="15.75" thickBot="1" x14ac:dyDescent="0.3">
      <c r="A6" s="28" t="s">
        <v>89</v>
      </c>
      <c r="B6" s="29" t="s">
        <v>78</v>
      </c>
      <c r="C6" s="30">
        <v>200000</v>
      </c>
      <c r="D6" s="31">
        <v>200000</v>
      </c>
      <c r="E6" s="44">
        <v>43724</v>
      </c>
      <c r="F6" s="31"/>
      <c r="G6" s="44"/>
      <c r="H6" s="30">
        <f>SUM(D6,F6)</f>
        <v>200000</v>
      </c>
      <c r="I6" s="55" t="s">
        <v>5</v>
      </c>
      <c r="J6" s="34">
        <f t="shared" ref="J6:J15" si="0">C6-H6</f>
        <v>0</v>
      </c>
    </row>
    <row r="7" spans="1:12" ht="15.75" thickBot="1" x14ac:dyDescent="0.3">
      <c r="A7" s="28" t="s">
        <v>90</v>
      </c>
      <c r="B7" s="29" t="s">
        <v>79</v>
      </c>
      <c r="C7" s="30">
        <v>200000</v>
      </c>
      <c r="D7" s="31"/>
      <c r="E7" s="44"/>
      <c r="F7" s="31"/>
      <c r="G7" s="44"/>
      <c r="H7" s="30">
        <f t="shared" ref="H7:H15" si="1">SUM(D7,F7)</f>
        <v>0</v>
      </c>
      <c r="I7" s="55"/>
      <c r="J7" s="19">
        <f t="shared" si="0"/>
        <v>200000</v>
      </c>
    </row>
    <row r="8" spans="1:12" ht="15.75" thickBot="1" x14ac:dyDescent="0.3">
      <c r="A8" s="28" t="s">
        <v>91</v>
      </c>
      <c r="B8" s="29" t="s">
        <v>80</v>
      </c>
      <c r="C8" s="30">
        <v>200000</v>
      </c>
      <c r="D8" s="31"/>
      <c r="E8" s="44"/>
      <c r="F8" s="31"/>
      <c r="G8" s="44"/>
      <c r="H8" s="30">
        <f t="shared" si="1"/>
        <v>0</v>
      </c>
      <c r="I8" s="55"/>
      <c r="J8" s="19">
        <f t="shared" si="0"/>
        <v>200000</v>
      </c>
    </row>
    <row r="9" spans="1:12" ht="15.75" thickBot="1" x14ac:dyDescent="0.3">
      <c r="A9" s="28" t="s">
        <v>91</v>
      </c>
      <c r="B9" s="29" t="s">
        <v>81</v>
      </c>
      <c r="C9" s="30">
        <v>200000</v>
      </c>
      <c r="D9" s="31"/>
      <c r="E9" s="44"/>
      <c r="F9" s="31"/>
      <c r="G9" s="44"/>
      <c r="H9" s="30">
        <f>SUM(D9,F9)</f>
        <v>0</v>
      </c>
      <c r="I9" s="55"/>
      <c r="J9" s="19">
        <f t="shared" si="0"/>
        <v>200000</v>
      </c>
    </row>
    <row r="10" spans="1:12" ht="15.75" thickBot="1" x14ac:dyDescent="0.3">
      <c r="A10" s="28" t="s">
        <v>92</v>
      </c>
      <c r="B10" s="29" t="s">
        <v>82</v>
      </c>
      <c r="C10" s="30">
        <v>200000</v>
      </c>
      <c r="D10" s="31">
        <v>100000</v>
      </c>
      <c r="E10" s="44">
        <v>43880</v>
      </c>
      <c r="F10" s="31"/>
      <c r="G10" s="44"/>
      <c r="H10" s="30">
        <f t="shared" si="1"/>
        <v>100000</v>
      </c>
      <c r="I10" s="55"/>
      <c r="J10" s="19">
        <f t="shared" si="0"/>
        <v>100000</v>
      </c>
    </row>
    <row r="11" spans="1:12" ht="15.75" thickBot="1" x14ac:dyDescent="0.3">
      <c r="A11" s="28" t="s">
        <v>93</v>
      </c>
      <c r="B11" s="29" t="s">
        <v>83</v>
      </c>
      <c r="C11" s="30">
        <v>200000</v>
      </c>
      <c r="D11" s="31">
        <v>100000</v>
      </c>
      <c r="E11" s="44">
        <v>43460</v>
      </c>
      <c r="F11" s="31"/>
      <c r="G11" s="44"/>
      <c r="H11" s="30">
        <f t="shared" si="1"/>
        <v>100000</v>
      </c>
      <c r="I11" s="55"/>
      <c r="J11" s="19">
        <f t="shared" si="0"/>
        <v>100000</v>
      </c>
    </row>
    <row r="12" spans="1:12" ht="15.75" thickBot="1" x14ac:dyDescent="0.3">
      <c r="A12" s="28" t="s">
        <v>94</v>
      </c>
      <c r="B12" s="29" t="s">
        <v>84</v>
      </c>
      <c r="C12" s="30">
        <v>200000</v>
      </c>
      <c r="D12" s="31">
        <v>70000</v>
      </c>
      <c r="E12" s="44">
        <v>43473</v>
      </c>
      <c r="F12" s="31"/>
      <c r="G12" s="44"/>
      <c r="H12" s="30">
        <f t="shared" si="1"/>
        <v>70000</v>
      </c>
      <c r="I12" s="55"/>
      <c r="J12" s="19">
        <f t="shared" si="0"/>
        <v>130000</v>
      </c>
    </row>
    <row r="13" spans="1:12" ht="15.75" thickBot="1" x14ac:dyDescent="0.3">
      <c r="A13" s="28" t="s">
        <v>95</v>
      </c>
      <c r="B13" s="29" t="s">
        <v>85</v>
      </c>
      <c r="C13" s="30">
        <v>200000</v>
      </c>
      <c r="D13" s="31"/>
      <c r="E13" s="44"/>
      <c r="F13" s="31"/>
      <c r="G13" s="44"/>
      <c r="H13" s="30">
        <f t="shared" si="1"/>
        <v>0</v>
      </c>
      <c r="I13" s="55"/>
      <c r="J13" s="19">
        <f t="shared" si="0"/>
        <v>200000</v>
      </c>
    </row>
    <row r="14" spans="1:12" ht="15.75" thickBot="1" x14ac:dyDescent="0.3">
      <c r="A14" s="28" t="s">
        <v>95</v>
      </c>
      <c r="B14" s="29" t="s">
        <v>87</v>
      </c>
      <c r="C14" s="30">
        <v>200000</v>
      </c>
      <c r="D14" s="31"/>
      <c r="E14" s="44"/>
      <c r="F14" s="31"/>
      <c r="G14" s="44"/>
      <c r="H14" s="30">
        <f t="shared" si="1"/>
        <v>0</v>
      </c>
      <c r="I14" s="55"/>
      <c r="J14" s="19">
        <f t="shared" si="0"/>
        <v>200000</v>
      </c>
    </row>
    <row r="15" spans="1:12" ht="15.75" thickBot="1" x14ac:dyDescent="0.3">
      <c r="A15" s="28" t="s">
        <v>96</v>
      </c>
      <c r="B15" s="29" t="s">
        <v>86</v>
      </c>
      <c r="C15" s="30">
        <v>200000</v>
      </c>
      <c r="D15" s="31"/>
      <c r="E15" s="44"/>
      <c r="F15" s="31"/>
      <c r="G15" s="44"/>
      <c r="H15" s="30">
        <f t="shared" si="1"/>
        <v>0</v>
      </c>
      <c r="I15" s="55"/>
      <c r="J15" s="19">
        <f t="shared" si="0"/>
        <v>200000</v>
      </c>
    </row>
    <row r="16" spans="1:12" ht="15.75" thickBot="1" x14ac:dyDescent="0.3">
      <c r="A16" s="169" t="s">
        <v>72</v>
      </c>
      <c r="B16" s="170"/>
      <c r="C16" s="38">
        <f>SUM(C6:C15)</f>
        <v>2000000</v>
      </c>
      <c r="D16"/>
      <c r="F16" s="169" t="s">
        <v>71</v>
      </c>
      <c r="G16" s="170"/>
      <c r="H16" s="38">
        <f>SUM(H6:H15)</f>
        <v>470000</v>
      </c>
    </row>
    <row r="17" spans="1:8" ht="15.75" thickBot="1" x14ac:dyDescent="0.3">
      <c r="D17"/>
      <c r="F17" s="169" t="s">
        <v>73</v>
      </c>
      <c r="G17" s="170"/>
      <c r="H17" s="38">
        <f>C16-H16</f>
        <v>1530000</v>
      </c>
    </row>
    <row r="18" spans="1:8" ht="15.75" thickBot="1" x14ac:dyDescent="0.3"/>
    <row r="19" spans="1:8" ht="15.75" thickBot="1" x14ac:dyDescent="0.3">
      <c r="A19" s="126" t="s">
        <v>12</v>
      </c>
      <c r="B19" s="128" t="s">
        <v>36</v>
      </c>
      <c r="C19" s="128" t="s">
        <v>37</v>
      </c>
      <c r="D19" s="129" t="s">
        <v>0</v>
      </c>
      <c r="E19" s="42"/>
      <c r="F19" s="171" t="s">
        <v>88</v>
      </c>
      <c r="G19" s="172"/>
    </row>
    <row r="20" spans="1:8" ht="15.75" thickBot="1" x14ac:dyDescent="0.3">
      <c r="A20" s="24" t="s">
        <v>76</v>
      </c>
      <c r="B20" s="25">
        <v>10</v>
      </c>
      <c r="C20" s="25" t="s">
        <v>75</v>
      </c>
      <c r="D20" s="26"/>
      <c r="E20" s="43"/>
      <c r="F20" s="23"/>
      <c r="G20" s="45"/>
    </row>
    <row r="21" spans="1:8" ht="15.75" thickBot="1" x14ac:dyDescent="0.3">
      <c r="A21" s="126" t="s">
        <v>4</v>
      </c>
      <c r="B21" s="128" t="s">
        <v>13</v>
      </c>
      <c r="C21" s="128" t="s">
        <v>1</v>
      </c>
      <c r="D21" s="128" t="s">
        <v>14</v>
      </c>
      <c r="E21" s="130" t="s">
        <v>0</v>
      </c>
      <c r="F21" s="128" t="s">
        <v>3</v>
      </c>
      <c r="G21"/>
    </row>
    <row r="22" spans="1:8" x14ac:dyDescent="0.25">
      <c r="A22" s="28" t="s">
        <v>89</v>
      </c>
      <c r="B22" s="29" t="s">
        <v>78</v>
      </c>
      <c r="C22" s="30">
        <v>40000</v>
      </c>
      <c r="D22" s="31"/>
      <c r="E22" s="44"/>
      <c r="F22" s="30"/>
      <c r="G22"/>
    </row>
    <row r="23" spans="1:8" x14ac:dyDescent="0.25">
      <c r="A23" s="28" t="s">
        <v>90</v>
      </c>
      <c r="B23" s="29" t="s">
        <v>79</v>
      </c>
      <c r="C23" s="30">
        <v>40000</v>
      </c>
      <c r="D23" s="31"/>
      <c r="E23" s="44"/>
      <c r="F23" s="30"/>
      <c r="G23"/>
    </row>
    <row r="24" spans="1:8" x14ac:dyDescent="0.25">
      <c r="A24" s="28" t="s">
        <v>91</v>
      </c>
      <c r="B24" s="29" t="s">
        <v>80</v>
      </c>
      <c r="C24" s="30">
        <v>40000</v>
      </c>
      <c r="D24" s="31"/>
      <c r="E24" s="44"/>
      <c r="F24" s="30"/>
      <c r="G24"/>
    </row>
    <row r="25" spans="1:8" x14ac:dyDescent="0.25">
      <c r="A25" s="28" t="s">
        <v>91</v>
      </c>
      <c r="B25" s="29" t="s">
        <v>81</v>
      </c>
      <c r="C25" s="30">
        <v>40000</v>
      </c>
      <c r="D25" s="31"/>
      <c r="E25" s="44"/>
      <c r="F25" s="30"/>
      <c r="G25"/>
    </row>
    <row r="26" spans="1:8" x14ac:dyDescent="0.25">
      <c r="A26" s="28" t="s">
        <v>92</v>
      </c>
      <c r="B26" s="29" t="s">
        <v>82</v>
      </c>
      <c r="C26" s="30">
        <v>50000</v>
      </c>
      <c r="D26" s="31">
        <v>50000</v>
      </c>
      <c r="E26" s="44"/>
      <c r="F26" s="30" t="s">
        <v>5</v>
      </c>
      <c r="G26"/>
    </row>
    <row r="27" spans="1:8" x14ac:dyDescent="0.25">
      <c r="A27" s="28" t="s">
        <v>93</v>
      </c>
      <c r="B27" s="29" t="s">
        <v>83</v>
      </c>
      <c r="C27" s="30">
        <v>40000</v>
      </c>
      <c r="D27" s="31">
        <v>40000</v>
      </c>
      <c r="E27" s="44"/>
      <c r="F27" s="30" t="s">
        <v>5</v>
      </c>
      <c r="G27"/>
    </row>
    <row r="28" spans="1:8" x14ac:dyDescent="0.25">
      <c r="A28" s="28" t="s">
        <v>94</v>
      </c>
      <c r="B28" s="29" t="s">
        <v>84</v>
      </c>
      <c r="C28" s="30">
        <v>40000</v>
      </c>
      <c r="D28" s="31"/>
      <c r="E28" s="44"/>
      <c r="F28" s="30"/>
      <c r="G28"/>
    </row>
    <row r="29" spans="1:8" x14ac:dyDescent="0.25">
      <c r="A29" s="28" t="s">
        <v>95</v>
      </c>
      <c r="B29" s="29" t="s">
        <v>85</v>
      </c>
      <c r="C29" s="30">
        <v>40000</v>
      </c>
      <c r="D29" s="31"/>
      <c r="E29" s="44"/>
      <c r="F29" s="30"/>
      <c r="G29"/>
    </row>
    <row r="30" spans="1:8" x14ac:dyDescent="0.25">
      <c r="A30" s="28" t="s">
        <v>95</v>
      </c>
      <c r="B30" s="29" t="s">
        <v>87</v>
      </c>
      <c r="C30" s="30">
        <v>40000</v>
      </c>
      <c r="D30" s="31"/>
      <c r="E30" s="44"/>
      <c r="F30" s="30"/>
      <c r="G30"/>
    </row>
    <row r="31" spans="1:8" ht="15.75" thickBot="1" x14ac:dyDescent="0.3">
      <c r="A31" s="28" t="s">
        <v>96</v>
      </c>
      <c r="B31" s="29" t="s">
        <v>86</v>
      </c>
      <c r="C31" s="33">
        <v>40000</v>
      </c>
      <c r="D31" s="31"/>
      <c r="E31" s="44"/>
      <c r="F31" s="30"/>
      <c r="G31"/>
    </row>
    <row r="32" spans="1:8" ht="15.75" thickBot="1" x14ac:dyDescent="0.3">
      <c r="C32" s="38">
        <f>SUM(C22:C31)</f>
        <v>410000</v>
      </c>
    </row>
    <row r="33" spans="1:10" ht="15.75" thickBot="1" x14ac:dyDescent="0.3">
      <c r="C33" s="114"/>
    </row>
    <row r="34" spans="1:10" ht="15.75" thickBot="1" x14ac:dyDescent="0.3">
      <c r="A34" s="63" t="s">
        <v>12</v>
      </c>
      <c r="B34" s="64" t="s">
        <v>36</v>
      </c>
      <c r="C34" s="64" t="s">
        <v>37</v>
      </c>
      <c r="D34" s="68" t="s">
        <v>0</v>
      </c>
      <c r="E34" s="42"/>
      <c r="F34" s="169"/>
      <c r="G34" s="170"/>
      <c r="H34" s="23"/>
      <c r="I34" s="23"/>
    </row>
    <row r="35" spans="1:10" ht="15.75" thickBot="1" x14ac:dyDescent="0.3">
      <c r="A35" s="24"/>
      <c r="B35" s="25"/>
      <c r="C35" s="25"/>
      <c r="D35" s="26"/>
      <c r="E35" s="43"/>
      <c r="F35" s="23"/>
      <c r="G35" s="45"/>
      <c r="H35" s="23"/>
      <c r="I35" s="23"/>
    </row>
    <row r="36" spans="1:10" ht="15.75" thickBot="1" x14ac:dyDescent="0.3">
      <c r="A36" s="63" t="s">
        <v>4</v>
      </c>
      <c r="B36" s="64" t="s">
        <v>13</v>
      </c>
      <c r="C36" s="64" t="s">
        <v>1</v>
      </c>
      <c r="D36" s="64" t="s">
        <v>14</v>
      </c>
      <c r="E36" s="65" t="s">
        <v>0</v>
      </c>
      <c r="F36" s="64" t="s">
        <v>15</v>
      </c>
      <c r="G36" s="66" t="s">
        <v>0</v>
      </c>
      <c r="H36" s="67" t="s">
        <v>9</v>
      </c>
      <c r="I36" s="68" t="s">
        <v>3</v>
      </c>
      <c r="J36" s="69" t="s">
        <v>2</v>
      </c>
    </row>
    <row r="37" spans="1:10" ht="15.75" thickBot="1" x14ac:dyDescent="0.3">
      <c r="A37" s="28"/>
      <c r="B37" s="29"/>
      <c r="C37" s="30"/>
      <c r="D37" s="31"/>
      <c r="E37" s="44"/>
      <c r="F37" s="31"/>
      <c r="G37" s="44"/>
      <c r="H37" s="30"/>
      <c r="I37" s="55"/>
      <c r="J37" s="34"/>
    </row>
    <row r="38" spans="1:10" ht="15.75" thickBot="1" x14ac:dyDescent="0.3">
      <c r="A38" s="28"/>
      <c r="B38" s="29"/>
      <c r="C38" s="30"/>
      <c r="D38" s="31"/>
      <c r="E38" s="44"/>
      <c r="F38" s="31"/>
      <c r="G38" s="44"/>
      <c r="H38" s="30"/>
      <c r="I38" s="55"/>
      <c r="J38" s="19"/>
    </row>
    <row r="39" spans="1:10" ht="15.75" thickBot="1" x14ac:dyDescent="0.3">
      <c r="A39" s="28"/>
      <c r="B39" s="29"/>
      <c r="C39" s="30"/>
      <c r="D39" s="31"/>
      <c r="E39" s="44"/>
      <c r="F39" s="31"/>
      <c r="G39" s="44"/>
      <c r="H39" s="30"/>
      <c r="I39" s="55"/>
      <c r="J39" s="19"/>
    </row>
    <row r="40" spans="1:10" ht="15.75" thickBot="1" x14ac:dyDescent="0.3">
      <c r="A40" s="28"/>
      <c r="B40" s="29"/>
      <c r="C40" s="30"/>
      <c r="D40" s="31"/>
      <c r="E40" s="44"/>
      <c r="F40" s="31"/>
      <c r="G40" s="44"/>
      <c r="H40" s="30"/>
      <c r="I40" s="55"/>
      <c r="J40" s="19"/>
    </row>
    <row r="41" spans="1:10" ht="15.75" thickBot="1" x14ac:dyDescent="0.3">
      <c r="A41" s="28"/>
      <c r="B41" s="29"/>
      <c r="C41" s="30"/>
      <c r="D41" s="31"/>
      <c r="E41" s="44"/>
      <c r="F41" s="31"/>
      <c r="G41" s="44"/>
      <c r="H41" s="30"/>
      <c r="I41" s="55"/>
      <c r="J41" s="19"/>
    </row>
    <row r="42" spans="1:10" ht="15.75" thickBot="1" x14ac:dyDescent="0.3">
      <c r="A42" s="28"/>
      <c r="B42" s="29"/>
      <c r="C42" s="30"/>
      <c r="D42" s="31"/>
      <c r="E42" s="44"/>
      <c r="F42" s="31"/>
      <c r="G42" s="44"/>
      <c r="H42" s="30"/>
      <c r="I42" s="55"/>
      <c r="J42" s="19"/>
    </row>
    <row r="43" spans="1:10" ht="15.75" thickBot="1" x14ac:dyDescent="0.3">
      <c r="A43" s="28"/>
      <c r="B43" s="29"/>
      <c r="C43" s="30"/>
      <c r="D43" s="31"/>
      <c r="E43" s="44"/>
      <c r="F43" s="31"/>
      <c r="G43" s="44"/>
      <c r="H43" s="30"/>
      <c r="I43" s="55"/>
      <c r="J43" s="19"/>
    </row>
    <row r="44" spans="1:10" ht="15.75" thickBot="1" x14ac:dyDescent="0.3">
      <c r="A44" s="28"/>
      <c r="B44" s="29"/>
      <c r="C44" s="30"/>
      <c r="D44" s="31"/>
      <c r="E44" s="44"/>
      <c r="F44" s="31"/>
      <c r="G44" s="44"/>
      <c r="H44" s="30"/>
      <c r="I44" s="55"/>
      <c r="J44" s="19"/>
    </row>
    <row r="45" spans="1:10" ht="15.75" thickBot="1" x14ac:dyDescent="0.3">
      <c r="A45" s="28"/>
      <c r="B45" s="29"/>
      <c r="C45" s="30"/>
      <c r="D45" s="31"/>
      <c r="E45" s="44"/>
      <c r="F45" s="31"/>
      <c r="G45" s="44"/>
      <c r="H45" s="30"/>
      <c r="I45" s="55"/>
      <c r="J45" s="19"/>
    </row>
    <row r="46" spans="1:10" ht="15.75" thickBot="1" x14ac:dyDescent="0.3">
      <c r="A46" s="28"/>
      <c r="B46" s="29"/>
      <c r="C46" s="30"/>
      <c r="D46" s="31"/>
      <c r="E46" s="44"/>
      <c r="F46" s="31"/>
      <c r="G46" s="44"/>
      <c r="H46" s="30"/>
      <c r="I46" s="55"/>
      <c r="J46" s="19"/>
    </row>
    <row r="47" spans="1:10" ht="15.75" thickBot="1" x14ac:dyDescent="0.3">
      <c r="A47" s="169" t="s">
        <v>72</v>
      </c>
      <c r="B47" s="170"/>
      <c r="C47" s="38">
        <f>SUM(C37:C46)</f>
        <v>0</v>
      </c>
      <c r="D47"/>
      <c r="F47" s="169" t="s">
        <v>71</v>
      </c>
      <c r="G47" s="170"/>
      <c r="H47" s="38">
        <f>SUM(H37:H46)</f>
        <v>0</v>
      </c>
    </row>
    <row r="48" spans="1:10" ht="15.75" thickBot="1" x14ac:dyDescent="0.3">
      <c r="D48"/>
      <c r="F48" s="169" t="s">
        <v>73</v>
      </c>
      <c r="G48" s="170"/>
      <c r="H48" s="38">
        <f>C47-H47</f>
        <v>0</v>
      </c>
    </row>
    <row r="49" spans="1:10" ht="15.75" thickBot="1" x14ac:dyDescent="0.3"/>
    <row r="50" spans="1:10" ht="15.75" thickBot="1" x14ac:dyDescent="0.3">
      <c r="A50" s="63" t="s">
        <v>12</v>
      </c>
      <c r="B50" s="64" t="s">
        <v>36</v>
      </c>
      <c r="C50" s="64" t="s">
        <v>37</v>
      </c>
      <c r="D50" s="68" t="s">
        <v>0</v>
      </c>
      <c r="E50" s="42"/>
      <c r="F50" s="169"/>
      <c r="G50" s="170"/>
      <c r="H50" s="23"/>
      <c r="I50" s="23"/>
    </row>
    <row r="51" spans="1:10" ht="15.75" thickBot="1" x14ac:dyDescent="0.3">
      <c r="A51" s="24"/>
      <c r="B51" s="25"/>
      <c r="C51" s="25" t="s">
        <v>197</v>
      </c>
      <c r="D51" s="26"/>
      <c r="E51" s="43"/>
      <c r="F51" s="23"/>
      <c r="G51" s="45"/>
      <c r="H51" s="23"/>
      <c r="I51" s="23"/>
    </row>
    <row r="52" spans="1:10" ht="15.75" thickBot="1" x14ac:dyDescent="0.3">
      <c r="A52" s="63" t="s">
        <v>4</v>
      </c>
      <c r="B52" s="64" t="s">
        <v>13</v>
      </c>
      <c r="C52" s="64" t="s">
        <v>1</v>
      </c>
      <c r="D52" s="64" t="s">
        <v>14</v>
      </c>
      <c r="E52" s="65" t="s">
        <v>0</v>
      </c>
      <c r="F52" s="64" t="s">
        <v>15</v>
      </c>
      <c r="G52" s="66" t="s">
        <v>0</v>
      </c>
      <c r="H52" s="67" t="s">
        <v>9</v>
      </c>
      <c r="I52" s="68" t="s">
        <v>3</v>
      </c>
      <c r="J52" s="69" t="s">
        <v>2</v>
      </c>
    </row>
    <row r="53" spans="1:10" ht="15.75" thickBot="1" x14ac:dyDescent="0.3">
      <c r="A53" s="28"/>
      <c r="B53" s="29"/>
      <c r="C53" s="30"/>
      <c r="D53" s="31"/>
      <c r="E53" s="44"/>
      <c r="F53" s="31"/>
      <c r="G53" s="44"/>
      <c r="H53" s="30"/>
      <c r="I53" s="55"/>
      <c r="J53" s="34"/>
    </row>
    <row r="54" spans="1:10" ht="15.75" thickBot="1" x14ac:dyDescent="0.3">
      <c r="A54" s="28"/>
      <c r="B54" s="29"/>
      <c r="C54" s="30"/>
      <c r="D54" s="31"/>
      <c r="E54" s="44"/>
      <c r="F54" s="31"/>
      <c r="G54" s="44"/>
      <c r="H54" s="30"/>
      <c r="I54" s="55"/>
      <c r="J54" s="19"/>
    </row>
    <row r="55" spans="1:10" ht="15.75" thickBot="1" x14ac:dyDescent="0.3">
      <c r="A55" s="28"/>
      <c r="B55" s="29"/>
      <c r="C55" s="30"/>
      <c r="D55" s="31"/>
      <c r="E55" s="44"/>
      <c r="F55" s="31"/>
      <c r="G55" s="44"/>
      <c r="H55" s="30"/>
      <c r="I55" s="55"/>
      <c r="J55" s="19"/>
    </row>
    <row r="56" spans="1:10" ht="15.75" thickBot="1" x14ac:dyDescent="0.3">
      <c r="A56" s="28"/>
      <c r="B56" s="29"/>
      <c r="C56" s="30"/>
      <c r="D56" s="31"/>
      <c r="E56" s="44"/>
      <c r="F56" s="31"/>
      <c r="G56" s="44"/>
      <c r="H56" s="30"/>
      <c r="I56" s="55"/>
      <c r="J56" s="19"/>
    </row>
    <row r="57" spans="1:10" ht="15.75" thickBot="1" x14ac:dyDescent="0.3">
      <c r="A57" s="28"/>
      <c r="B57" s="29"/>
      <c r="C57" s="30"/>
      <c r="D57" s="31"/>
      <c r="E57" s="44"/>
      <c r="F57" s="31"/>
      <c r="G57" s="44"/>
      <c r="H57" s="30"/>
      <c r="I57" s="55"/>
      <c r="J57" s="19"/>
    </row>
    <row r="58" spans="1:10" ht="15.75" thickBot="1" x14ac:dyDescent="0.3">
      <c r="A58" s="28"/>
      <c r="B58" s="29"/>
      <c r="C58" s="30"/>
      <c r="D58" s="31"/>
      <c r="E58" s="44"/>
      <c r="F58" s="31"/>
      <c r="G58" s="44"/>
      <c r="H58" s="30"/>
      <c r="I58" s="55"/>
      <c r="J58" s="19"/>
    </row>
    <row r="59" spans="1:10" ht="15.75" thickBot="1" x14ac:dyDescent="0.3">
      <c r="A59" s="28"/>
      <c r="B59" s="29"/>
      <c r="C59" s="30"/>
      <c r="D59" s="31"/>
      <c r="E59" s="44"/>
      <c r="F59" s="31"/>
      <c r="G59" s="44"/>
      <c r="H59" s="30"/>
      <c r="I59" s="55"/>
      <c r="J59" s="19"/>
    </row>
    <row r="60" spans="1:10" ht="15.75" thickBot="1" x14ac:dyDescent="0.3">
      <c r="A60" s="28"/>
      <c r="B60" s="29"/>
      <c r="C60" s="30"/>
      <c r="D60" s="31"/>
      <c r="E60" s="44"/>
      <c r="F60" s="31"/>
      <c r="G60" s="44"/>
      <c r="H60" s="30"/>
      <c r="I60" s="55"/>
      <c r="J60" s="19"/>
    </row>
    <row r="61" spans="1:10" ht="15.75" thickBot="1" x14ac:dyDescent="0.3">
      <c r="A61" s="28"/>
      <c r="B61" s="29"/>
      <c r="C61" s="30"/>
      <c r="D61" s="31"/>
      <c r="E61" s="44"/>
      <c r="F61" s="31"/>
      <c r="G61" s="44"/>
      <c r="H61" s="30"/>
      <c r="I61" s="55"/>
      <c r="J61" s="19"/>
    </row>
    <row r="62" spans="1:10" ht="15.75" thickBot="1" x14ac:dyDescent="0.3">
      <c r="A62" s="28"/>
      <c r="B62" s="29"/>
      <c r="C62" s="30"/>
      <c r="D62" s="31"/>
      <c r="E62" s="44"/>
      <c r="F62" s="31"/>
      <c r="G62" s="44"/>
      <c r="H62" s="30"/>
      <c r="I62" s="55"/>
      <c r="J62" s="19"/>
    </row>
    <row r="63" spans="1:10" ht="15.75" thickBot="1" x14ac:dyDescent="0.3">
      <c r="A63" s="169" t="s">
        <v>72</v>
      </c>
      <c r="B63" s="170"/>
      <c r="C63" s="38">
        <f>SUM(C53:C62)</f>
        <v>0</v>
      </c>
      <c r="D63"/>
      <c r="F63" s="169" t="s">
        <v>71</v>
      </c>
      <c r="G63" s="170"/>
      <c r="H63" s="38">
        <f>SUM(H53:H62)</f>
        <v>0</v>
      </c>
    </row>
    <row r="64" spans="1:10" ht="15.75" thickBot="1" x14ac:dyDescent="0.3">
      <c r="D64"/>
      <c r="F64" s="169" t="s">
        <v>73</v>
      </c>
      <c r="G64" s="170"/>
      <c r="H64" s="38">
        <f>C63-H63</f>
        <v>0</v>
      </c>
    </row>
  </sheetData>
  <mergeCells count="14">
    <mergeCell ref="F19:G19"/>
    <mergeCell ref="A1:I1"/>
    <mergeCell ref="F3:G3"/>
    <mergeCell ref="A16:B16"/>
    <mergeCell ref="F16:G16"/>
    <mergeCell ref="F17:G17"/>
    <mergeCell ref="A63:B63"/>
    <mergeCell ref="F63:G63"/>
    <mergeCell ref="F64:G64"/>
    <mergeCell ref="F34:G34"/>
    <mergeCell ref="A47:B47"/>
    <mergeCell ref="F47:G47"/>
    <mergeCell ref="F48:G48"/>
    <mergeCell ref="F50:G50"/>
  </mergeCells>
  <conditionalFormatting sqref="A22:F31">
    <cfRule type="expression" dxfId="62" priority="4">
      <formula>$F22="PAGADO"</formula>
    </cfRule>
    <cfRule type="expression" dxfId="61" priority="13">
      <formula>$J22="NO CONCRETADO"</formula>
    </cfRule>
    <cfRule type="expression" dxfId="60" priority="14">
      <formula>$J22="AVANZANDO"</formula>
    </cfRule>
    <cfRule type="expression" dxfId="59" priority="15">
      <formula>$J22="COMPLETO"</formula>
    </cfRule>
  </conditionalFormatting>
  <conditionalFormatting sqref="A6:J15">
    <cfRule type="expression" dxfId="58" priority="3">
      <formula>$I6="PAGADO"</formula>
    </cfRule>
  </conditionalFormatting>
  <conditionalFormatting sqref="A37:J46">
    <cfRule type="expression" dxfId="57" priority="2">
      <formula>$I37="PAGADO"</formula>
    </cfRule>
  </conditionalFormatting>
  <conditionalFormatting sqref="A53:J62">
    <cfRule type="expression" dxfId="56" priority="1">
      <formula>$I53="PAGADO"</formula>
    </cfRule>
  </conditionalFormatting>
  <dataValidations count="1">
    <dataValidation type="list" allowBlank="1" showInputMessage="1" showErrorMessage="1" sqref="I6:I15 F22:F31 I37:I46 I53:I62" xr:uid="{00000000-0002-0000-0200-000000000000}">
      <formula1>$L$1</formula1>
    </dataValidation>
  </dataValidations>
  <pageMargins left="0.51181102362204722" right="0.51181102362204722" top="0.74803149606299213" bottom="0.74803149606299213" header="0.31496062992125984" footer="0.11811023622047244"/>
  <pageSetup paperSize="5" scale="9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M29"/>
  <sheetViews>
    <sheetView topLeftCell="A16" zoomScaleNormal="100" zoomScalePageLayoutView="80" workbookViewId="0">
      <selection activeCell="O5" sqref="O5"/>
    </sheetView>
  </sheetViews>
  <sheetFormatPr baseColWidth="10" defaultRowHeight="15" x14ac:dyDescent="0.25"/>
  <cols>
    <col min="1" max="1" width="7.7109375" customWidth="1"/>
    <col min="2" max="2" width="4.85546875" customWidth="1"/>
    <col min="3" max="3" width="17.5703125" customWidth="1"/>
    <col min="4" max="4" width="11.42578125" customWidth="1"/>
    <col min="5" max="5" width="9.5703125" bestFit="1" customWidth="1"/>
    <col min="6" max="6" width="9" style="40" customWidth="1"/>
    <col min="7" max="7" width="9.5703125" bestFit="1" customWidth="1"/>
    <col min="8" max="8" width="9" style="40" customWidth="1"/>
    <col min="9" max="9" width="9.5703125" customWidth="1"/>
    <col min="10" max="10" width="9.140625" style="1" bestFit="1" customWidth="1"/>
    <col min="11" max="11" width="12" bestFit="1" customWidth="1"/>
  </cols>
  <sheetData>
    <row r="1" spans="1:13" ht="21" x14ac:dyDescent="0.35">
      <c r="A1" s="176" t="s">
        <v>74</v>
      </c>
      <c r="B1" s="176"/>
      <c r="C1" s="176"/>
      <c r="D1" s="176"/>
      <c r="E1" s="176"/>
      <c r="F1" s="176"/>
      <c r="G1" s="176"/>
      <c r="H1" s="176"/>
      <c r="I1" s="176"/>
      <c r="J1" s="176"/>
      <c r="M1" s="95" t="s">
        <v>5</v>
      </c>
    </row>
    <row r="2" spans="1:13" ht="15.75" thickBot="1" x14ac:dyDescent="0.3"/>
    <row r="3" spans="1:13" ht="15.75" thickBot="1" x14ac:dyDescent="0.3">
      <c r="A3" s="120" t="s">
        <v>36</v>
      </c>
      <c r="B3" s="1"/>
      <c r="C3" s="1"/>
      <c r="D3" s="1"/>
      <c r="E3" s="1"/>
      <c r="F3" s="42"/>
      <c r="G3" s="1"/>
      <c r="H3" s="42"/>
      <c r="I3" s="1"/>
    </row>
    <row r="4" spans="1:13" ht="15.75" thickBot="1" x14ac:dyDescent="0.3">
      <c r="A4" s="25" t="s">
        <v>163</v>
      </c>
      <c r="B4" s="1"/>
      <c r="C4" s="1"/>
      <c r="D4" s="1"/>
      <c r="E4" s="1"/>
      <c r="F4" s="42"/>
      <c r="G4" s="1"/>
      <c r="H4" s="42"/>
      <c r="I4" s="1"/>
    </row>
    <row r="5" spans="1:13" ht="15.75" thickBot="1" x14ac:dyDescent="0.3">
      <c r="A5" s="70" t="s">
        <v>155</v>
      </c>
      <c r="B5" s="63" t="s">
        <v>13</v>
      </c>
      <c r="C5" s="64" t="s">
        <v>4</v>
      </c>
      <c r="D5" s="64" t="s">
        <v>1</v>
      </c>
      <c r="E5" s="64" t="s">
        <v>14</v>
      </c>
      <c r="F5" s="65" t="s">
        <v>0</v>
      </c>
      <c r="G5" s="64" t="s">
        <v>15</v>
      </c>
      <c r="H5" s="66" t="s">
        <v>0</v>
      </c>
      <c r="I5" s="67" t="s">
        <v>9</v>
      </c>
      <c r="J5" s="67" t="s">
        <v>3</v>
      </c>
      <c r="K5" s="87" t="s">
        <v>2</v>
      </c>
    </row>
    <row r="6" spans="1:13" ht="15.75" thickBot="1" x14ac:dyDescent="0.3">
      <c r="A6" s="25" t="s">
        <v>156</v>
      </c>
      <c r="B6" s="73">
        <v>1</v>
      </c>
      <c r="C6" s="28" t="s">
        <v>160</v>
      </c>
      <c r="D6" s="30">
        <v>250000</v>
      </c>
      <c r="E6" s="31">
        <v>250000</v>
      </c>
      <c r="F6" s="47">
        <v>43714</v>
      </c>
      <c r="G6" s="31"/>
      <c r="H6" s="47"/>
      <c r="I6" s="30">
        <f>SUM(E6,G6)</f>
        <v>250000</v>
      </c>
      <c r="J6" s="122" t="s">
        <v>5</v>
      </c>
      <c r="K6" s="19">
        <f t="shared" ref="K6:K27" si="0">D6-I6</f>
        <v>0</v>
      </c>
    </row>
    <row r="7" spans="1:13" ht="15.75" thickBot="1" x14ac:dyDescent="0.3">
      <c r="A7" s="96"/>
      <c r="B7" s="78"/>
      <c r="C7" s="72" t="s">
        <v>161</v>
      </c>
      <c r="D7" s="30">
        <v>300000</v>
      </c>
      <c r="E7" s="31">
        <v>300000</v>
      </c>
      <c r="F7" s="47">
        <v>43742</v>
      </c>
      <c r="G7" s="31"/>
      <c r="H7" s="47"/>
      <c r="I7" s="30">
        <f t="shared" ref="I7:I27" si="1">SUM(E7,G7)</f>
        <v>300000</v>
      </c>
      <c r="J7" s="56" t="s">
        <v>5</v>
      </c>
      <c r="K7" s="121">
        <f t="shared" si="0"/>
        <v>0</v>
      </c>
    </row>
    <row r="8" spans="1:13" ht="15.75" thickBot="1" x14ac:dyDescent="0.3">
      <c r="A8" s="74" t="s">
        <v>156</v>
      </c>
      <c r="B8" s="55">
        <v>2</v>
      </c>
      <c r="C8" s="28" t="s">
        <v>164</v>
      </c>
      <c r="D8" s="30">
        <v>250000</v>
      </c>
      <c r="E8" s="31">
        <v>150000</v>
      </c>
      <c r="F8" s="47">
        <v>43369</v>
      </c>
      <c r="G8" s="31">
        <v>100000</v>
      </c>
      <c r="H8" s="47">
        <v>43717</v>
      </c>
      <c r="I8" s="30">
        <f t="shared" si="1"/>
        <v>250000</v>
      </c>
      <c r="J8" s="56" t="s">
        <v>5</v>
      </c>
      <c r="K8" s="19">
        <f t="shared" si="0"/>
        <v>0</v>
      </c>
    </row>
    <row r="9" spans="1:13" ht="15.75" thickBot="1" x14ac:dyDescent="0.3">
      <c r="A9" s="74" t="s">
        <v>156</v>
      </c>
      <c r="B9" s="55">
        <v>3</v>
      </c>
      <c r="C9" s="28" t="s">
        <v>165</v>
      </c>
      <c r="D9" s="30">
        <v>250000</v>
      </c>
      <c r="E9" s="31">
        <v>150000</v>
      </c>
      <c r="F9" s="47">
        <v>43706</v>
      </c>
      <c r="G9" s="37">
        <v>100000</v>
      </c>
      <c r="H9" s="47">
        <v>43706</v>
      </c>
      <c r="I9" s="30">
        <f t="shared" si="1"/>
        <v>250000</v>
      </c>
      <c r="J9" s="56" t="s">
        <v>5</v>
      </c>
      <c r="K9" s="19">
        <f t="shared" si="0"/>
        <v>0</v>
      </c>
    </row>
    <row r="10" spans="1:13" ht="15.75" thickBot="1" x14ac:dyDescent="0.3">
      <c r="A10" s="74" t="s">
        <v>156</v>
      </c>
      <c r="B10" s="55">
        <v>4</v>
      </c>
      <c r="C10" s="28" t="s">
        <v>166</v>
      </c>
      <c r="D10" s="30">
        <v>250000</v>
      </c>
      <c r="E10" s="31">
        <v>150000</v>
      </c>
      <c r="F10" s="47">
        <v>43706</v>
      </c>
      <c r="G10" s="86">
        <v>100000</v>
      </c>
      <c r="H10" s="47">
        <v>43341</v>
      </c>
      <c r="I10" s="30">
        <f t="shared" si="1"/>
        <v>250000</v>
      </c>
      <c r="J10" s="56" t="s">
        <v>5</v>
      </c>
      <c r="K10" s="19">
        <f t="shared" si="0"/>
        <v>0</v>
      </c>
    </row>
    <row r="11" spans="1:13" ht="15.75" thickBot="1" x14ac:dyDescent="0.3">
      <c r="A11" s="74" t="s">
        <v>156</v>
      </c>
      <c r="B11" s="55">
        <v>5</v>
      </c>
      <c r="C11" s="28" t="s">
        <v>167</v>
      </c>
      <c r="D11" s="30">
        <v>250000</v>
      </c>
      <c r="E11" s="31">
        <v>150000</v>
      </c>
      <c r="F11" s="47"/>
      <c r="G11" s="31">
        <v>100000</v>
      </c>
      <c r="H11" s="47">
        <v>43706</v>
      </c>
      <c r="I11" s="30">
        <f t="shared" si="1"/>
        <v>250000</v>
      </c>
      <c r="J11" s="56" t="s">
        <v>5</v>
      </c>
      <c r="K11" s="19">
        <f t="shared" si="0"/>
        <v>0</v>
      </c>
    </row>
    <row r="12" spans="1:13" ht="15.75" thickBot="1" x14ac:dyDescent="0.3">
      <c r="A12" s="25" t="s">
        <v>156</v>
      </c>
      <c r="B12" s="73">
        <v>6</v>
      </c>
      <c r="C12" s="32" t="s">
        <v>168</v>
      </c>
      <c r="D12" s="33">
        <v>250000</v>
      </c>
      <c r="E12" s="85">
        <v>150000</v>
      </c>
      <c r="F12" s="98"/>
      <c r="G12" s="85">
        <v>50000</v>
      </c>
      <c r="H12" s="98">
        <v>44110</v>
      </c>
      <c r="I12" s="84">
        <f>SUM(E12,G12,E13,G13)</f>
        <v>200000</v>
      </c>
      <c r="J12" s="123"/>
      <c r="K12" s="19">
        <f t="shared" si="0"/>
        <v>50000</v>
      </c>
    </row>
    <row r="13" spans="1:13" ht="15.75" thickBot="1" x14ac:dyDescent="0.3">
      <c r="A13" s="25"/>
      <c r="B13" s="73"/>
      <c r="C13" s="32"/>
      <c r="D13" s="33"/>
      <c r="E13" s="85"/>
      <c r="F13" s="98"/>
      <c r="G13" s="85"/>
      <c r="H13" s="98"/>
      <c r="I13" s="84"/>
      <c r="J13" s="123"/>
      <c r="K13" s="19"/>
    </row>
    <row r="14" spans="1:13" ht="15.75" thickBot="1" x14ac:dyDescent="0.3">
      <c r="A14" s="75" t="s">
        <v>156</v>
      </c>
      <c r="B14" s="57">
        <v>7</v>
      </c>
      <c r="C14" s="83" t="s">
        <v>169</v>
      </c>
      <c r="D14" s="84">
        <v>250000</v>
      </c>
      <c r="E14" s="85">
        <v>250000</v>
      </c>
      <c r="F14" s="98">
        <v>43515</v>
      </c>
      <c r="G14" s="85"/>
      <c r="H14" s="98"/>
      <c r="I14" s="84">
        <f t="shared" si="1"/>
        <v>250000</v>
      </c>
      <c r="J14" s="56" t="s">
        <v>5</v>
      </c>
      <c r="K14" s="19">
        <f t="shared" si="0"/>
        <v>0</v>
      </c>
    </row>
    <row r="15" spans="1:13" ht="15.75" thickBot="1" x14ac:dyDescent="0.3">
      <c r="A15" s="76"/>
      <c r="B15" s="77"/>
      <c r="C15" s="71"/>
      <c r="D15" s="80"/>
      <c r="E15" s="81"/>
      <c r="F15" s="99"/>
      <c r="G15" s="81"/>
      <c r="H15" s="99"/>
      <c r="I15" s="80"/>
      <c r="J15" s="77"/>
      <c r="K15" s="82"/>
    </row>
    <row r="16" spans="1:13" ht="15.75" thickBot="1" x14ac:dyDescent="0.3">
      <c r="A16" s="11" t="s">
        <v>157</v>
      </c>
      <c r="B16" s="88">
        <v>1</v>
      </c>
      <c r="C16" s="89" t="s">
        <v>170</v>
      </c>
      <c r="D16" s="90">
        <v>250000</v>
      </c>
      <c r="E16" s="91">
        <v>150000</v>
      </c>
      <c r="F16" s="100">
        <v>43409</v>
      </c>
      <c r="G16" s="91"/>
      <c r="H16" s="100"/>
      <c r="I16" s="90">
        <f t="shared" si="1"/>
        <v>150000</v>
      </c>
      <c r="J16" s="124"/>
      <c r="K16" s="92">
        <f t="shared" si="0"/>
        <v>100000</v>
      </c>
    </row>
    <row r="17" spans="1:11" ht="15.75" thickBot="1" x14ac:dyDescent="0.3">
      <c r="A17" s="74" t="s">
        <v>157</v>
      </c>
      <c r="B17" s="55">
        <v>2</v>
      </c>
      <c r="C17" s="28" t="s">
        <v>171</v>
      </c>
      <c r="D17" s="30">
        <v>250000</v>
      </c>
      <c r="E17" s="31">
        <v>150000</v>
      </c>
      <c r="F17" s="47">
        <v>43369</v>
      </c>
      <c r="G17" s="31">
        <v>100000</v>
      </c>
      <c r="H17" s="47">
        <v>43706</v>
      </c>
      <c r="I17" s="30">
        <f t="shared" si="1"/>
        <v>250000</v>
      </c>
      <c r="J17" s="122" t="s">
        <v>5</v>
      </c>
      <c r="K17" s="19">
        <f t="shared" si="0"/>
        <v>0</v>
      </c>
    </row>
    <row r="18" spans="1:11" ht="15.75" thickBot="1" x14ac:dyDescent="0.3">
      <c r="A18" s="11" t="s">
        <v>157</v>
      </c>
      <c r="B18" s="55">
        <v>3</v>
      </c>
      <c r="C18" s="28" t="s">
        <v>171</v>
      </c>
      <c r="D18" s="30">
        <v>250000</v>
      </c>
      <c r="E18" s="31">
        <v>150000</v>
      </c>
      <c r="F18" s="47">
        <v>43395</v>
      </c>
      <c r="G18" s="31">
        <v>100000</v>
      </c>
      <c r="H18" s="47">
        <v>43706</v>
      </c>
      <c r="I18" s="30">
        <f t="shared" si="1"/>
        <v>250000</v>
      </c>
      <c r="J18" s="56" t="s">
        <v>5</v>
      </c>
      <c r="K18" s="19">
        <f t="shared" si="0"/>
        <v>0</v>
      </c>
    </row>
    <row r="19" spans="1:11" ht="15.75" thickBot="1" x14ac:dyDescent="0.3">
      <c r="A19" s="25" t="s">
        <v>157</v>
      </c>
      <c r="B19" s="73">
        <v>4</v>
      </c>
      <c r="C19" s="28" t="s">
        <v>160</v>
      </c>
      <c r="D19" s="30">
        <v>250000</v>
      </c>
      <c r="E19" s="31">
        <v>150000</v>
      </c>
      <c r="F19" s="47">
        <v>43669</v>
      </c>
      <c r="G19" s="31">
        <v>100000</v>
      </c>
      <c r="H19" s="47">
        <v>43707</v>
      </c>
      <c r="I19" s="30">
        <f t="shared" si="1"/>
        <v>250000</v>
      </c>
      <c r="J19" s="56" t="s">
        <v>5</v>
      </c>
      <c r="K19" s="19">
        <f t="shared" si="0"/>
        <v>0</v>
      </c>
    </row>
    <row r="20" spans="1:11" ht="15.75" thickBot="1" x14ac:dyDescent="0.3">
      <c r="A20" s="93"/>
      <c r="B20" s="94"/>
      <c r="C20" s="72" t="s">
        <v>162</v>
      </c>
      <c r="D20" s="30">
        <v>200000</v>
      </c>
      <c r="E20" s="31">
        <v>200000</v>
      </c>
      <c r="F20" s="47">
        <v>43742</v>
      </c>
      <c r="G20" s="31"/>
      <c r="H20" s="47"/>
      <c r="I20" s="30">
        <f t="shared" si="1"/>
        <v>200000</v>
      </c>
      <c r="J20" s="56" t="s">
        <v>5</v>
      </c>
      <c r="K20" s="101">
        <f t="shared" si="0"/>
        <v>0</v>
      </c>
    </row>
    <row r="21" spans="1:11" ht="15.75" thickBot="1" x14ac:dyDescent="0.3">
      <c r="A21" s="74" t="s">
        <v>157</v>
      </c>
      <c r="B21" s="55">
        <v>5</v>
      </c>
      <c r="C21" s="28" t="s">
        <v>172</v>
      </c>
      <c r="D21" s="30">
        <v>250000</v>
      </c>
      <c r="E21" s="31">
        <v>150000</v>
      </c>
      <c r="F21" s="47">
        <v>43387</v>
      </c>
      <c r="G21" s="31">
        <v>100000</v>
      </c>
      <c r="H21" s="47">
        <v>43857</v>
      </c>
      <c r="I21" s="30">
        <f t="shared" si="1"/>
        <v>250000</v>
      </c>
      <c r="J21" s="56" t="s">
        <v>5</v>
      </c>
      <c r="K21" s="19">
        <f t="shared" si="0"/>
        <v>0</v>
      </c>
    </row>
    <row r="22" spans="1:11" ht="15.75" thickBot="1" x14ac:dyDescent="0.3">
      <c r="A22" s="79" t="s">
        <v>157</v>
      </c>
      <c r="B22" s="73">
        <v>6</v>
      </c>
      <c r="C22" s="32" t="s">
        <v>173</v>
      </c>
      <c r="D22" s="33">
        <v>250000</v>
      </c>
      <c r="E22" s="37">
        <v>150000</v>
      </c>
      <c r="F22" s="97"/>
      <c r="G22" s="37">
        <v>100000</v>
      </c>
      <c r="H22" s="97">
        <v>43710</v>
      </c>
      <c r="I22" s="33">
        <f t="shared" si="1"/>
        <v>250000</v>
      </c>
      <c r="J22" s="123" t="s">
        <v>5</v>
      </c>
      <c r="K22" s="19">
        <f t="shared" si="0"/>
        <v>0</v>
      </c>
    </row>
    <row r="23" spans="1:11" ht="15.75" thickBot="1" x14ac:dyDescent="0.3">
      <c r="A23" s="11" t="s">
        <v>157</v>
      </c>
      <c r="B23" s="88">
        <v>7</v>
      </c>
      <c r="C23" s="89" t="s">
        <v>150</v>
      </c>
      <c r="D23" s="90">
        <v>250000</v>
      </c>
      <c r="E23" s="91">
        <v>150000</v>
      </c>
      <c r="F23" s="100">
        <v>43754</v>
      </c>
      <c r="G23" s="91"/>
      <c r="H23" s="100"/>
      <c r="I23" s="90">
        <f t="shared" si="1"/>
        <v>150000</v>
      </c>
      <c r="J23" s="124"/>
      <c r="K23" s="19">
        <f t="shared" si="0"/>
        <v>100000</v>
      </c>
    </row>
    <row r="24" spans="1:11" ht="15.75" thickBot="1" x14ac:dyDescent="0.3">
      <c r="A24" s="76"/>
      <c r="B24" s="77"/>
      <c r="C24" s="71"/>
      <c r="D24" s="80"/>
      <c r="E24" s="81"/>
      <c r="F24" s="99"/>
      <c r="G24" s="81"/>
      <c r="H24" s="99"/>
      <c r="I24" s="80"/>
      <c r="J24" s="77"/>
      <c r="K24" s="82"/>
    </row>
    <row r="25" spans="1:11" ht="15.75" thickBot="1" x14ac:dyDescent="0.3">
      <c r="A25" s="11" t="s">
        <v>158</v>
      </c>
      <c r="B25" s="88">
        <v>1</v>
      </c>
      <c r="C25" s="89" t="s">
        <v>174</v>
      </c>
      <c r="D25" s="90">
        <v>1500000</v>
      </c>
      <c r="E25" s="91">
        <v>750000</v>
      </c>
      <c r="F25" s="100">
        <v>43746</v>
      </c>
      <c r="G25" s="91"/>
      <c r="H25" s="100"/>
      <c r="I25" s="90">
        <f t="shared" si="1"/>
        <v>750000</v>
      </c>
      <c r="J25" s="124"/>
      <c r="K25" s="92">
        <f t="shared" si="0"/>
        <v>750000</v>
      </c>
    </row>
    <row r="26" spans="1:11" ht="15.75" thickBot="1" x14ac:dyDescent="0.3">
      <c r="A26" s="76"/>
      <c r="B26" s="77"/>
      <c r="C26" s="71"/>
      <c r="D26" s="80"/>
      <c r="E26" s="81"/>
      <c r="F26" s="99"/>
      <c r="G26" s="81"/>
      <c r="H26" s="99"/>
      <c r="I26" s="80"/>
      <c r="J26" s="77"/>
      <c r="K26" s="82"/>
    </row>
    <row r="27" spans="1:11" ht="15.75" thickBot="1" x14ac:dyDescent="0.3">
      <c r="A27" s="11" t="s">
        <v>159</v>
      </c>
      <c r="B27" s="88">
        <v>1</v>
      </c>
      <c r="C27" s="89" t="s">
        <v>175</v>
      </c>
      <c r="D27" s="90">
        <v>1500000</v>
      </c>
      <c r="E27" s="91"/>
      <c r="F27" s="100"/>
      <c r="G27" s="91"/>
      <c r="H27" s="100"/>
      <c r="I27" s="90">
        <f t="shared" si="1"/>
        <v>0</v>
      </c>
      <c r="J27" s="124"/>
      <c r="K27" s="92">
        <f t="shared" si="0"/>
        <v>1500000</v>
      </c>
    </row>
    <row r="28" spans="1:11" x14ac:dyDescent="0.25">
      <c r="A28" s="1"/>
      <c r="B28" s="1"/>
      <c r="C28" s="1"/>
      <c r="D28" s="1"/>
      <c r="E28" s="1"/>
      <c r="F28" s="42"/>
      <c r="G28" s="1"/>
      <c r="H28" s="42"/>
      <c r="I28" s="1"/>
    </row>
    <row r="29" spans="1:11" x14ac:dyDescent="0.25">
      <c r="A29" s="1"/>
      <c r="B29" s="1"/>
      <c r="C29" s="1"/>
      <c r="D29" s="1"/>
      <c r="E29" s="1"/>
      <c r="F29" s="42"/>
      <c r="G29" s="1"/>
      <c r="H29" s="42"/>
      <c r="I29" s="1"/>
    </row>
  </sheetData>
  <mergeCells count="1">
    <mergeCell ref="A1:J1"/>
  </mergeCells>
  <phoneticPr fontId="9" type="noConversion"/>
  <conditionalFormatting sqref="A6:K6 A8:K14">
    <cfRule type="expression" dxfId="55" priority="7">
      <formula>$J6="PAGADO"</formula>
    </cfRule>
  </conditionalFormatting>
  <conditionalFormatting sqref="A16:K19 A21:K23">
    <cfRule type="expression" dxfId="54" priority="6">
      <formula>$J16="PAGADO"</formula>
    </cfRule>
  </conditionalFormatting>
  <conditionalFormatting sqref="A25:K25">
    <cfRule type="expression" dxfId="53" priority="5">
      <formula>$J25="PAGADO"</formula>
    </cfRule>
  </conditionalFormatting>
  <conditionalFormatting sqref="A27:K27">
    <cfRule type="expression" dxfId="52" priority="4">
      <formula>$J27="PAGADO"</formula>
    </cfRule>
  </conditionalFormatting>
  <conditionalFormatting sqref="C7:J7">
    <cfRule type="expression" dxfId="51" priority="2">
      <formula>$J7="PAGADO"</formula>
    </cfRule>
  </conditionalFormatting>
  <conditionalFormatting sqref="C20:K20">
    <cfRule type="expression" dxfId="50" priority="1">
      <formula>$J20="PAGADO"</formula>
    </cfRule>
  </conditionalFormatting>
  <dataValidations count="1">
    <dataValidation type="list" allowBlank="1" showInputMessage="1" showErrorMessage="1" sqref="J7:J14 J16:J23 J25 J27 J6" xr:uid="{00000000-0002-0000-0300-000000000000}">
      <formula1>$M$1</formula1>
    </dataValidation>
  </dataValidations>
  <pageMargins left="0.25" right="0.25" top="0.75" bottom="0.75" header="0.3" footer="0.3"/>
  <pageSetup paperSize="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K111"/>
  <sheetViews>
    <sheetView topLeftCell="A91" zoomScaleNormal="100" workbookViewId="0">
      <selection activeCell="F82" sqref="F82"/>
    </sheetView>
  </sheetViews>
  <sheetFormatPr baseColWidth="10" defaultRowHeight="15" x14ac:dyDescent="0.25"/>
  <cols>
    <col min="1" max="1" width="19.5703125" bestFit="1" customWidth="1"/>
    <col min="2" max="2" width="9.140625" bestFit="1" customWidth="1"/>
    <col min="3" max="3" width="12.140625" bestFit="1" customWidth="1"/>
    <col min="4" max="4" width="10.42578125" bestFit="1" customWidth="1"/>
    <col min="5" max="5" width="8.5703125" style="40" bestFit="1" customWidth="1"/>
    <col min="6" max="6" width="9" bestFit="1" customWidth="1"/>
    <col min="7" max="7" width="8.42578125" style="40" bestFit="1" customWidth="1"/>
    <col min="8" max="8" width="10.5703125" bestFit="1" customWidth="1"/>
    <col min="9" max="9" width="11.42578125" customWidth="1"/>
  </cols>
  <sheetData>
    <row r="1" spans="1:11" ht="21" x14ac:dyDescent="0.35">
      <c r="A1" s="173" t="s">
        <v>97</v>
      </c>
      <c r="B1" s="174"/>
      <c r="C1" s="174"/>
      <c r="D1" s="174"/>
      <c r="E1" s="174"/>
      <c r="F1" s="174"/>
      <c r="G1" s="174"/>
      <c r="H1" s="174"/>
      <c r="I1" s="175"/>
      <c r="K1" s="58" t="s">
        <v>5</v>
      </c>
    </row>
    <row r="2" spans="1:11" ht="15.75" thickBot="1" x14ac:dyDescent="0.3"/>
    <row r="3" spans="1:11" ht="15.75" thickBot="1" x14ac:dyDescent="0.3">
      <c r="A3" s="20" t="s">
        <v>12</v>
      </c>
      <c r="B3" s="21" t="s">
        <v>36</v>
      </c>
      <c r="C3" s="21" t="s">
        <v>37</v>
      </c>
      <c r="D3" s="22" t="s">
        <v>0</v>
      </c>
      <c r="E3" s="42"/>
      <c r="G3"/>
      <c r="H3" s="23"/>
      <c r="I3" s="23"/>
    </row>
    <row r="4" spans="1:11" ht="15.75" thickBot="1" x14ac:dyDescent="0.3">
      <c r="A4" s="24" t="s">
        <v>98</v>
      </c>
      <c r="B4" s="25">
        <v>3</v>
      </c>
      <c r="C4" s="25" t="s">
        <v>99</v>
      </c>
      <c r="D4" s="26">
        <v>43881</v>
      </c>
      <c r="E4" s="43"/>
      <c r="F4" s="23"/>
      <c r="G4" s="45"/>
      <c r="H4" s="23"/>
      <c r="I4" s="23"/>
    </row>
    <row r="5" spans="1:11" ht="15.75" thickBot="1" x14ac:dyDescent="0.3">
      <c r="A5" s="20" t="s">
        <v>4</v>
      </c>
      <c r="B5" s="21" t="s">
        <v>13</v>
      </c>
      <c r="C5" s="21" t="s">
        <v>1</v>
      </c>
      <c r="D5" s="21" t="s">
        <v>14</v>
      </c>
      <c r="E5" s="41" t="s">
        <v>0</v>
      </c>
      <c r="F5" s="21" t="s">
        <v>15</v>
      </c>
      <c r="G5" s="46" t="s">
        <v>0</v>
      </c>
      <c r="H5" s="27" t="s">
        <v>9</v>
      </c>
      <c r="I5" s="22" t="s">
        <v>3</v>
      </c>
      <c r="J5" s="9" t="s">
        <v>2</v>
      </c>
    </row>
    <row r="6" spans="1:11" ht="15.75" thickBot="1" x14ac:dyDescent="0.3">
      <c r="A6" s="28" t="s">
        <v>101</v>
      </c>
      <c r="B6" s="29" t="s">
        <v>100</v>
      </c>
      <c r="C6" s="30">
        <v>600000</v>
      </c>
      <c r="D6" s="31">
        <v>200000</v>
      </c>
      <c r="E6" s="44">
        <v>43850</v>
      </c>
      <c r="F6" s="31"/>
      <c r="G6" s="44"/>
      <c r="H6" s="30">
        <f>SUM(D6,F6)</f>
        <v>200000</v>
      </c>
      <c r="I6" s="55"/>
      <c r="J6" s="19">
        <f t="shared" ref="J6:J8" si="0">C6-H6</f>
        <v>400000</v>
      </c>
    </row>
    <row r="7" spans="1:11" ht="15.75" thickBot="1" x14ac:dyDescent="0.3">
      <c r="A7" s="28" t="s">
        <v>102</v>
      </c>
      <c r="B7" s="29" t="s">
        <v>104</v>
      </c>
      <c r="C7" s="30">
        <v>300000</v>
      </c>
      <c r="D7" s="31">
        <v>150000</v>
      </c>
      <c r="E7" s="44">
        <v>43847</v>
      </c>
      <c r="F7" s="31">
        <v>150000</v>
      </c>
      <c r="G7" s="44">
        <v>43859</v>
      </c>
      <c r="H7" s="30">
        <f t="shared" ref="H7:H8" si="1">SUM(D7,F7)</f>
        <v>300000</v>
      </c>
      <c r="I7" s="57" t="s">
        <v>5</v>
      </c>
      <c r="J7" s="34">
        <f t="shared" si="0"/>
        <v>0</v>
      </c>
    </row>
    <row r="8" spans="1:11" ht="15.75" thickBot="1" x14ac:dyDescent="0.3">
      <c r="A8" s="28" t="s">
        <v>103</v>
      </c>
      <c r="B8" s="29" t="s">
        <v>105</v>
      </c>
      <c r="C8" s="30">
        <v>600000</v>
      </c>
      <c r="D8" s="31"/>
      <c r="E8" s="44"/>
      <c r="F8" s="31"/>
      <c r="G8" s="44"/>
      <c r="H8" s="30">
        <f t="shared" si="1"/>
        <v>0</v>
      </c>
      <c r="I8" s="57"/>
      <c r="J8" s="19">
        <f t="shared" si="0"/>
        <v>600000</v>
      </c>
    </row>
    <row r="9" spans="1:11" ht="15.75" thickBot="1" x14ac:dyDescent="0.3">
      <c r="A9" s="183" t="s">
        <v>72</v>
      </c>
      <c r="B9" s="184"/>
      <c r="C9" s="38">
        <f>SUM(C6:C8)</f>
        <v>1500000</v>
      </c>
      <c r="D9" s="2"/>
      <c r="E9" s="48"/>
      <c r="F9" s="183" t="s">
        <v>71</v>
      </c>
      <c r="G9" s="184"/>
      <c r="H9" s="38">
        <f>SUM(H6:H8)</f>
        <v>500000</v>
      </c>
    </row>
    <row r="10" spans="1:11" ht="15.75" thickBot="1" x14ac:dyDescent="0.3">
      <c r="C10" s="2"/>
      <c r="D10" s="2"/>
      <c r="E10" s="48"/>
      <c r="F10" s="177" t="s">
        <v>73</v>
      </c>
      <c r="G10" s="178"/>
      <c r="H10" s="38">
        <f>C9-H9</f>
        <v>1000000</v>
      </c>
    </row>
    <row r="12" spans="1:11" ht="15.75" thickBot="1" x14ac:dyDescent="0.3"/>
    <row r="13" spans="1:11" ht="15.75" thickBot="1" x14ac:dyDescent="0.3">
      <c r="A13" s="63" t="s">
        <v>12</v>
      </c>
      <c r="B13" s="64" t="s">
        <v>36</v>
      </c>
      <c r="C13" s="64" t="s">
        <v>37</v>
      </c>
      <c r="D13" s="68" t="s">
        <v>0</v>
      </c>
      <c r="E13" s="42"/>
      <c r="G13"/>
      <c r="H13" s="23"/>
      <c r="I13" s="23"/>
    </row>
    <row r="14" spans="1:11" ht="15.75" thickBot="1" x14ac:dyDescent="0.3">
      <c r="A14" s="24" t="s">
        <v>152</v>
      </c>
      <c r="B14" s="25">
        <v>7</v>
      </c>
      <c r="C14" s="25" t="s">
        <v>106</v>
      </c>
      <c r="D14" s="26">
        <v>43673</v>
      </c>
      <c r="E14" s="43"/>
      <c r="F14" s="23"/>
      <c r="G14" s="45"/>
      <c r="H14" s="23"/>
      <c r="I14" s="23"/>
    </row>
    <row r="15" spans="1:11" ht="15.75" thickBot="1" x14ac:dyDescent="0.3">
      <c r="A15" s="63" t="s">
        <v>4</v>
      </c>
      <c r="B15" s="64" t="s">
        <v>13</v>
      </c>
      <c r="C15" s="64" t="s">
        <v>1</v>
      </c>
      <c r="D15" s="64" t="s">
        <v>14</v>
      </c>
      <c r="E15" s="65" t="s">
        <v>0</v>
      </c>
      <c r="F15" s="64" t="s">
        <v>15</v>
      </c>
      <c r="G15" s="66" t="s">
        <v>0</v>
      </c>
      <c r="H15" s="67" t="s">
        <v>9</v>
      </c>
      <c r="I15" s="68" t="s">
        <v>3</v>
      </c>
      <c r="J15" s="69" t="s">
        <v>2</v>
      </c>
    </row>
    <row r="16" spans="1:11" ht="15.75" thickBot="1" x14ac:dyDescent="0.3">
      <c r="A16" s="28" t="s">
        <v>107</v>
      </c>
      <c r="B16" s="29" t="s">
        <v>114</v>
      </c>
      <c r="C16" s="30">
        <v>300000</v>
      </c>
      <c r="D16" s="31">
        <v>150000</v>
      </c>
      <c r="E16" s="44">
        <v>43675</v>
      </c>
      <c r="F16" s="31">
        <v>150000</v>
      </c>
      <c r="G16" s="44">
        <v>43857</v>
      </c>
      <c r="H16" s="30">
        <f>SUM(D16,F16)</f>
        <v>300000</v>
      </c>
      <c r="I16" s="55" t="s">
        <v>5</v>
      </c>
      <c r="J16" s="34">
        <f t="shared" ref="J16:J23" si="2">C16-H16</f>
        <v>0</v>
      </c>
    </row>
    <row r="17" spans="1:10" ht="15.75" thickBot="1" x14ac:dyDescent="0.3">
      <c r="A17" s="28" t="s">
        <v>108</v>
      </c>
      <c r="B17" s="29" t="s">
        <v>115</v>
      </c>
      <c r="C17" s="30">
        <v>300000</v>
      </c>
      <c r="D17" s="31">
        <v>150000</v>
      </c>
      <c r="E17" s="47" t="s">
        <v>121</v>
      </c>
      <c r="F17" s="31"/>
      <c r="G17" s="44"/>
      <c r="H17" s="30">
        <f t="shared" ref="H17:H23" si="3">SUM(D17,F17)</f>
        <v>150000</v>
      </c>
      <c r="I17" s="57"/>
      <c r="J17" s="19">
        <f t="shared" si="2"/>
        <v>150000</v>
      </c>
    </row>
    <row r="18" spans="1:10" ht="15.75" thickBot="1" x14ac:dyDescent="0.3">
      <c r="A18" s="28" t="s">
        <v>109</v>
      </c>
      <c r="B18" s="29" t="s">
        <v>116</v>
      </c>
      <c r="C18" s="30">
        <v>300000</v>
      </c>
      <c r="D18" s="31">
        <v>150000</v>
      </c>
      <c r="E18" s="44">
        <v>43846</v>
      </c>
      <c r="F18" s="31">
        <v>150000</v>
      </c>
      <c r="G18" s="47">
        <v>43859</v>
      </c>
      <c r="H18" s="30">
        <f t="shared" si="3"/>
        <v>300000</v>
      </c>
      <c r="I18" s="57" t="s">
        <v>5</v>
      </c>
      <c r="J18" s="34">
        <f t="shared" si="2"/>
        <v>0</v>
      </c>
    </row>
    <row r="19" spans="1:10" ht="15.75" thickBot="1" x14ac:dyDescent="0.3">
      <c r="A19" s="28" t="s">
        <v>110</v>
      </c>
      <c r="B19" s="29" t="s">
        <v>117</v>
      </c>
      <c r="C19" s="30">
        <v>150000</v>
      </c>
      <c r="D19" s="31">
        <v>150000</v>
      </c>
      <c r="E19" s="44">
        <v>43858</v>
      </c>
      <c r="F19" s="31"/>
      <c r="G19" s="44"/>
      <c r="H19" s="30">
        <f t="shared" si="3"/>
        <v>150000</v>
      </c>
      <c r="I19" s="57" t="s">
        <v>5</v>
      </c>
      <c r="J19" s="34">
        <f t="shared" si="2"/>
        <v>0</v>
      </c>
    </row>
    <row r="20" spans="1:10" ht="15.75" thickBot="1" x14ac:dyDescent="0.3">
      <c r="A20" s="28" t="s">
        <v>111</v>
      </c>
      <c r="B20" s="29" t="s">
        <v>118</v>
      </c>
      <c r="C20" s="30">
        <v>150000</v>
      </c>
      <c r="D20" s="31">
        <v>150000</v>
      </c>
      <c r="E20" s="44">
        <v>43864</v>
      </c>
      <c r="F20" s="31"/>
      <c r="G20" s="44"/>
      <c r="H20" s="30">
        <f t="shared" si="3"/>
        <v>150000</v>
      </c>
      <c r="I20" s="57" t="s">
        <v>5</v>
      </c>
      <c r="J20" s="34">
        <f t="shared" si="2"/>
        <v>0</v>
      </c>
    </row>
    <row r="21" spans="1:10" ht="15.75" thickBot="1" x14ac:dyDescent="0.3">
      <c r="A21" s="28" t="s">
        <v>112</v>
      </c>
      <c r="B21" s="29" t="s">
        <v>119</v>
      </c>
      <c r="C21" s="30">
        <v>150000</v>
      </c>
      <c r="D21" s="31">
        <v>150000</v>
      </c>
      <c r="E21" s="44">
        <v>43855</v>
      </c>
      <c r="F21" s="31"/>
      <c r="G21" s="44"/>
      <c r="H21" s="30">
        <f t="shared" si="3"/>
        <v>150000</v>
      </c>
      <c r="I21" s="57" t="s">
        <v>5</v>
      </c>
      <c r="J21" s="34">
        <f t="shared" si="2"/>
        <v>0</v>
      </c>
    </row>
    <row r="22" spans="1:10" ht="15.75" thickBot="1" x14ac:dyDescent="0.3">
      <c r="A22" s="28" t="s">
        <v>113</v>
      </c>
      <c r="B22" s="29" t="s">
        <v>120</v>
      </c>
      <c r="C22" s="30">
        <v>300000</v>
      </c>
      <c r="D22" s="31"/>
      <c r="E22" s="44"/>
      <c r="F22" s="31"/>
      <c r="G22" s="44"/>
      <c r="H22" s="30">
        <f t="shared" si="3"/>
        <v>0</v>
      </c>
      <c r="I22" s="57"/>
      <c r="J22" s="19">
        <f t="shared" si="2"/>
        <v>300000</v>
      </c>
    </row>
    <row r="23" spans="1:10" ht="15.75" hidden="1" thickBot="1" x14ac:dyDescent="0.3">
      <c r="A23" s="28"/>
      <c r="B23" s="29" t="s">
        <v>69</v>
      </c>
      <c r="C23" s="33">
        <v>150000</v>
      </c>
      <c r="D23" s="31"/>
      <c r="E23" s="44"/>
      <c r="F23" s="31"/>
      <c r="G23" s="44"/>
      <c r="H23" s="33">
        <f t="shared" si="3"/>
        <v>0</v>
      </c>
      <c r="I23" s="36"/>
      <c r="J23" s="19">
        <f t="shared" si="2"/>
        <v>150000</v>
      </c>
    </row>
    <row r="24" spans="1:10" ht="15.75" thickBot="1" x14ac:dyDescent="0.3">
      <c r="A24" s="169" t="s">
        <v>72</v>
      </c>
      <c r="B24" s="170"/>
      <c r="C24" s="38">
        <f>SUM(C16:C23)</f>
        <v>1800000</v>
      </c>
      <c r="D24" s="2"/>
      <c r="E24" s="48"/>
      <c r="F24" s="169" t="s">
        <v>71</v>
      </c>
      <c r="G24" s="170"/>
      <c r="H24" s="38">
        <f>SUM(H16:H23)</f>
        <v>1200000</v>
      </c>
    </row>
    <row r="25" spans="1:10" ht="15.75" thickBot="1" x14ac:dyDescent="0.3">
      <c r="A25" s="2"/>
      <c r="B25" s="2"/>
      <c r="C25" s="2"/>
      <c r="D25" s="2"/>
      <c r="E25" s="48"/>
      <c r="F25" s="179" t="s">
        <v>73</v>
      </c>
      <c r="G25" s="180"/>
      <c r="H25" s="38">
        <f>C24-H24</f>
        <v>600000</v>
      </c>
    </row>
    <row r="27" spans="1:10" ht="15.75" thickBot="1" x14ac:dyDescent="0.3"/>
    <row r="28" spans="1:10" ht="15.75" thickBot="1" x14ac:dyDescent="0.3">
      <c r="A28" s="63" t="s">
        <v>12</v>
      </c>
      <c r="B28" s="64" t="s">
        <v>36</v>
      </c>
      <c r="C28" s="64" t="s">
        <v>37</v>
      </c>
      <c r="D28" s="68" t="s">
        <v>0</v>
      </c>
      <c r="E28" s="42"/>
      <c r="G28"/>
      <c r="H28" s="23"/>
      <c r="I28" s="23"/>
    </row>
    <row r="29" spans="1:10" ht="15.75" thickBot="1" x14ac:dyDescent="0.3">
      <c r="A29" s="24" t="s">
        <v>122</v>
      </c>
      <c r="B29" s="25">
        <v>3</v>
      </c>
      <c r="C29" s="25" t="s">
        <v>123</v>
      </c>
      <c r="D29" s="26"/>
      <c r="E29" s="43"/>
      <c r="F29" s="23"/>
      <c r="G29" s="45"/>
      <c r="H29" s="23"/>
      <c r="I29" s="23"/>
    </row>
    <row r="30" spans="1:10" ht="15.75" thickBot="1" x14ac:dyDescent="0.3">
      <c r="A30" s="20" t="s">
        <v>4</v>
      </c>
      <c r="B30" s="21" t="s">
        <v>13</v>
      </c>
      <c r="C30" s="21" t="s">
        <v>1</v>
      </c>
      <c r="D30" s="21" t="s">
        <v>14</v>
      </c>
      <c r="E30" s="41" t="s">
        <v>0</v>
      </c>
      <c r="F30" s="21" t="s">
        <v>15</v>
      </c>
      <c r="G30" s="46" t="s">
        <v>0</v>
      </c>
      <c r="H30" s="27" t="s">
        <v>9</v>
      </c>
      <c r="I30" s="22" t="s">
        <v>3</v>
      </c>
      <c r="J30" s="9" t="s">
        <v>2</v>
      </c>
    </row>
    <row r="31" spans="1:10" ht="15.75" thickBot="1" x14ac:dyDescent="0.3">
      <c r="A31" s="28" t="s">
        <v>124</v>
      </c>
      <c r="B31" s="29" t="s">
        <v>16</v>
      </c>
      <c r="C31" s="30">
        <v>370000</v>
      </c>
      <c r="D31" s="31">
        <v>180000</v>
      </c>
      <c r="E31" s="44">
        <v>43383</v>
      </c>
      <c r="F31" s="31">
        <v>190000</v>
      </c>
      <c r="G31" s="44">
        <v>43723</v>
      </c>
      <c r="H31" s="30">
        <f>SUM(D31,F31)</f>
        <v>370000</v>
      </c>
      <c r="I31" s="55" t="s">
        <v>5</v>
      </c>
      <c r="J31" s="34">
        <f t="shared" ref="J31:J33" si="4">C31-H31</f>
        <v>0</v>
      </c>
    </row>
    <row r="32" spans="1:10" ht="15.75" thickBot="1" x14ac:dyDescent="0.3">
      <c r="A32" s="28" t="s">
        <v>125</v>
      </c>
      <c r="B32" s="29" t="s">
        <v>17</v>
      </c>
      <c r="C32" s="30">
        <v>900000</v>
      </c>
      <c r="D32" s="31">
        <v>360000</v>
      </c>
      <c r="E32" s="44">
        <v>43723</v>
      </c>
      <c r="F32" s="31">
        <v>270000</v>
      </c>
      <c r="G32" s="44">
        <v>43724</v>
      </c>
      <c r="H32" s="30">
        <f t="shared" ref="H32:H33" si="5">SUM(D32,F32)</f>
        <v>630000</v>
      </c>
      <c r="I32" s="57"/>
      <c r="J32" s="19">
        <f t="shared" si="4"/>
        <v>270000</v>
      </c>
    </row>
    <row r="33" spans="1:10" ht="15.75" thickBot="1" x14ac:dyDescent="0.3">
      <c r="A33" s="28" t="s">
        <v>126</v>
      </c>
      <c r="B33" s="29" t="s">
        <v>18</v>
      </c>
      <c r="C33" s="30">
        <v>400000</v>
      </c>
      <c r="D33" s="31">
        <v>200000</v>
      </c>
      <c r="E33" s="44">
        <v>43862</v>
      </c>
      <c r="F33" s="31"/>
      <c r="G33" s="44"/>
      <c r="H33" s="30">
        <f t="shared" si="5"/>
        <v>200000</v>
      </c>
      <c r="I33" s="57"/>
      <c r="J33" s="19">
        <f t="shared" si="4"/>
        <v>200000</v>
      </c>
    </row>
    <row r="34" spans="1:10" ht="15.75" thickBot="1" x14ac:dyDescent="0.3">
      <c r="A34" s="183" t="s">
        <v>72</v>
      </c>
      <c r="B34" s="184"/>
      <c r="C34" s="38">
        <f>SUM(C31:C33)</f>
        <v>1670000</v>
      </c>
      <c r="D34" s="2"/>
      <c r="E34" s="48"/>
      <c r="F34" s="183" t="s">
        <v>71</v>
      </c>
      <c r="G34" s="184"/>
      <c r="H34" s="38">
        <f>SUM(H31:H33)</f>
        <v>1200000</v>
      </c>
    </row>
    <row r="35" spans="1:10" ht="15.75" thickBot="1" x14ac:dyDescent="0.3">
      <c r="C35" s="2"/>
      <c r="D35" s="2"/>
      <c r="E35" s="48"/>
      <c r="F35" s="177" t="s">
        <v>73</v>
      </c>
      <c r="G35" s="178"/>
      <c r="H35" s="38">
        <f>C34-H34</f>
        <v>470000</v>
      </c>
    </row>
    <row r="36" spans="1:10" ht="15.75" thickBot="1" x14ac:dyDescent="0.3"/>
    <row r="37" spans="1:10" ht="15.75" thickBot="1" x14ac:dyDescent="0.3">
      <c r="A37" s="126" t="s">
        <v>12</v>
      </c>
      <c r="B37" s="128" t="s">
        <v>36</v>
      </c>
      <c r="C37" s="128" t="s">
        <v>37</v>
      </c>
      <c r="D37" s="129" t="s">
        <v>0</v>
      </c>
      <c r="E37" s="42"/>
      <c r="F37" s="181" t="s">
        <v>128</v>
      </c>
      <c r="G37" s="182"/>
    </row>
    <row r="38" spans="1:10" ht="15.75" thickBot="1" x14ac:dyDescent="0.3">
      <c r="A38" s="24" t="s">
        <v>122</v>
      </c>
      <c r="B38" s="25">
        <v>3</v>
      </c>
      <c r="C38" s="25" t="s">
        <v>123</v>
      </c>
      <c r="D38" s="26"/>
      <c r="E38" s="43"/>
      <c r="F38" s="23"/>
      <c r="G38" s="45"/>
    </row>
    <row r="39" spans="1:10" ht="15.75" thickBot="1" x14ac:dyDescent="0.3">
      <c r="A39" s="126" t="s">
        <v>4</v>
      </c>
      <c r="B39" s="128" t="s">
        <v>13</v>
      </c>
      <c r="C39" s="128" t="s">
        <v>1</v>
      </c>
      <c r="D39" s="128" t="s">
        <v>14</v>
      </c>
      <c r="E39" s="130" t="s">
        <v>0</v>
      </c>
      <c r="F39" s="128" t="s">
        <v>3</v>
      </c>
      <c r="G39"/>
    </row>
    <row r="40" spans="1:10" x14ac:dyDescent="0.25">
      <c r="A40" s="28" t="s">
        <v>124</v>
      </c>
      <c r="B40" s="29" t="s">
        <v>16</v>
      </c>
      <c r="C40" s="30">
        <v>100000</v>
      </c>
      <c r="D40" s="31">
        <v>100000</v>
      </c>
      <c r="E40" s="44">
        <v>43837</v>
      </c>
      <c r="F40" s="60" t="s">
        <v>127</v>
      </c>
      <c r="G40"/>
    </row>
    <row r="41" spans="1:10" x14ac:dyDescent="0.25">
      <c r="A41" s="28" t="s">
        <v>125</v>
      </c>
      <c r="B41" s="29" t="s">
        <v>17</v>
      </c>
      <c r="C41" s="30">
        <v>100000</v>
      </c>
      <c r="D41" s="31"/>
      <c r="E41" s="44"/>
      <c r="F41" s="61"/>
      <c r="G41"/>
    </row>
    <row r="42" spans="1:10" ht="15.75" thickBot="1" x14ac:dyDescent="0.3">
      <c r="A42" s="28" t="s">
        <v>126</v>
      </c>
      <c r="B42" s="29" t="s">
        <v>18</v>
      </c>
      <c r="C42" s="30">
        <v>100000</v>
      </c>
      <c r="D42" s="31"/>
      <c r="E42" s="44"/>
      <c r="F42" s="61"/>
      <c r="G42"/>
    </row>
    <row r="43" spans="1:10" ht="15.75" thickBot="1" x14ac:dyDescent="0.3">
      <c r="C43" s="38">
        <f>SUM(C40:C42)</f>
        <v>300000</v>
      </c>
      <c r="D43" s="40"/>
    </row>
    <row r="44" spans="1:10" x14ac:dyDescent="0.25">
      <c r="C44" s="39"/>
      <c r="D44" s="40"/>
    </row>
    <row r="45" spans="1:10" ht="21" x14ac:dyDescent="0.35">
      <c r="A45" s="173" t="s">
        <v>97</v>
      </c>
      <c r="B45" s="174"/>
      <c r="C45" s="174"/>
      <c r="D45" s="174"/>
      <c r="E45" s="174"/>
      <c r="F45" s="174"/>
      <c r="G45" s="174"/>
      <c r="H45" s="174"/>
      <c r="I45" s="175"/>
    </row>
    <row r="46" spans="1:10" ht="15.75" thickBot="1" x14ac:dyDescent="0.3"/>
    <row r="47" spans="1:10" ht="15.75" thickBot="1" x14ac:dyDescent="0.3">
      <c r="A47" s="63" t="s">
        <v>12</v>
      </c>
      <c r="B47" s="64" t="s">
        <v>36</v>
      </c>
      <c r="C47" s="64" t="s">
        <v>37</v>
      </c>
      <c r="D47" s="68" t="s">
        <v>0</v>
      </c>
      <c r="E47" s="42"/>
      <c r="G47"/>
      <c r="H47" s="23"/>
      <c r="I47" s="23"/>
    </row>
    <row r="48" spans="1:10" ht="15.75" thickBot="1" x14ac:dyDescent="0.3">
      <c r="A48" s="24" t="s">
        <v>129</v>
      </c>
      <c r="B48" s="25">
        <v>5</v>
      </c>
      <c r="C48" s="25" t="s">
        <v>130</v>
      </c>
      <c r="D48" s="26">
        <v>43387</v>
      </c>
      <c r="E48" s="43"/>
      <c r="F48" s="23"/>
      <c r="G48" s="45"/>
      <c r="H48" s="23"/>
      <c r="I48" s="23"/>
    </row>
    <row r="49" spans="1:10" ht="15.75" thickBot="1" x14ac:dyDescent="0.3">
      <c r="A49" s="63" t="s">
        <v>4</v>
      </c>
      <c r="B49" s="64" t="s">
        <v>13</v>
      </c>
      <c r="C49" s="64" t="s">
        <v>1</v>
      </c>
      <c r="D49" s="64" t="s">
        <v>14</v>
      </c>
      <c r="E49" s="65" t="s">
        <v>0</v>
      </c>
      <c r="F49" s="64" t="s">
        <v>15</v>
      </c>
      <c r="G49" s="66" t="s">
        <v>0</v>
      </c>
      <c r="H49" s="67" t="s">
        <v>9</v>
      </c>
      <c r="I49" s="68" t="s">
        <v>3</v>
      </c>
      <c r="J49" s="69" t="s">
        <v>2</v>
      </c>
    </row>
    <row r="50" spans="1:10" ht="15.75" thickBot="1" x14ac:dyDescent="0.3">
      <c r="A50" s="28" t="s">
        <v>131</v>
      </c>
      <c r="B50" s="29"/>
      <c r="C50" s="30">
        <v>300000</v>
      </c>
      <c r="D50" s="31">
        <v>150000</v>
      </c>
      <c r="E50" s="53" t="s">
        <v>136</v>
      </c>
      <c r="F50" s="31">
        <v>150000</v>
      </c>
      <c r="G50" s="44">
        <v>43471</v>
      </c>
      <c r="H50" s="30">
        <f>SUM(D50,F50)</f>
        <v>300000</v>
      </c>
      <c r="I50" s="55" t="s">
        <v>5</v>
      </c>
      <c r="J50" s="34">
        <f t="shared" ref="J50:J54" si="6">C50-H50</f>
        <v>0</v>
      </c>
    </row>
    <row r="51" spans="1:10" ht="15.75" thickBot="1" x14ac:dyDescent="0.3">
      <c r="A51" s="28" t="s">
        <v>132</v>
      </c>
      <c r="B51" s="29"/>
      <c r="C51" s="30">
        <v>450000</v>
      </c>
      <c r="D51" s="31"/>
      <c r="E51" s="44"/>
      <c r="F51" s="31"/>
      <c r="G51" s="44"/>
      <c r="H51" s="30">
        <f t="shared" ref="H51:H54" si="7">SUM(D51,F51)</f>
        <v>0</v>
      </c>
      <c r="I51" s="57"/>
      <c r="J51" s="19">
        <f t="shared" si="6"/>
        <v>450000</v>
      </c>
    </row>
    <row r="52" spans="1:10" ht="15.75" thickBot="1" x14ac:dyDescent="0.3">
      <c r="A52" s="28" t="s">
        <v>133</v>
      </c>
      <c r="B52" s="29"/>
      <c r="C52" s="30">
        <v>300000</v>
      </c>
      <c r="D52" s="31"/>
      <c r="E52" s="44"/>
      <c r="F52" s="31"/>
      <c r="G52" s="44"/>
      <c r="H52" s="30">
        <f t="shared" si="7"/>
        <v>0</v>
      </c>
      <c r="I52" s="57"/>
      <c r="J52" s="19">
        <f t="shared" si="6"/>
        <v>300000</v>
      </c>
    </row>
    <row r="53" spans="1:10" ht="15.75" thickBot="1" x14ac:dyDescent="0.3">
      <c r="A53" s="28" t="s">
        <v>134</v>
      </c>
      <c r="B53" s="29"/>
      <c r="C53" s="30">
        <v>150000</v>
      </c>
      <c r="D53" s="31"/>
      <c r="E53" s="44"/>
      <c r="F53" s="31"/>
      <c r="G53" s="44"/>
      <c r="H53" s="30">
        <f t="shared" si="7"/>
        <v>0</v>
      </c>
      <c r="I53" s="57"/>
      <c r="J53" s="19">
        <f t="shared" si="6"/>
        <v>150000</v>
      </c>
    </row>
    <row r="54" spans="1:10" ht="15.75" thickBot="1" x14ac:dyDescent="0.3">
      <c r="A54" s="28" t="s">
        <v>135</v>
      </c>
      <c r="B54" s="29"/>
      <c r="C54" s="30">
        <v>300000</v>
      </c>
      <c r="D54" s="31">
        <v>150000</v>
      </c>
      <c r="E54" s="44">
        <v>43845</v>
      </c>
      <c r="F54" s="31">
        <v>150000</v>
      </c>
      <c r="G54" s="44">
        <v>43858</v>
      </c>
      <c r="H54" s="30">
        <f t="shared" si="7"/>
        <v>300000</v>
      </c>
      <c r="I54" s="57" t="s">
        <v>5</v>
      </c>
      <c r="J54" s="34">
        <f t="shared" si="6"/>
        <v>0</v>
      </c>
    </row>
    <row r="55" spans="1:10" ht="15.75" thickBot="1" x14ac:dyDescent="0.3">
      <c r="A55" s="169" t="s">
        <v>72</v>
      </c>
      <c r="B55" s="170"/>
      <c r="C55" s="38">
        <f>SUM(C50:C54)</f>
        <v>1500000</v>
      </c>
      <c r="D55" s="2"/>
      <c r="E55" s="48"/>
      <c r="F55" s="169" t="s">
        <v>71</v>
      </c>
      <c r="G55" s="170"/>
      <c r="H55" s="38">
        <f>SUM(H50:H54)</f>
        <v>600000</v>
      </c>
    </row>
    <row r="56" spans="1:10" ht="15.75" thickBot="1" x14ac:dyDescent="0.3">
      <c r="A56" s="2"/>
      <c r="B56" s="2"/>
      <c r="C56" s="2"/>
      <c r="D56" s="2"/>
      <c r="E56" s="48"/>
      <c r="F56" s="179" t="s">
        <v>73</v>
      </c>
      <c r="G56" s="180"/>
      <c r="H56" s="38">
        <f>C55-H55</f>
        <v>900000</v>
      </c>
      <c r="J56" s="52"/>
    </row>
    <row r="57" spans="1:10" ht="15.75" thickBot="1" x14ac:dyDescent="0.3"/>
    <row r="58" spans="1:10" ht="15.75" thickBot="1" x14ac:dyDescent="0.3">
      <c r="A58" s="126" t="s">
        <v>12</v>
      </c>
      <c r="B58" s="128" t="s">
        <v>36</v>
      </c>
      <c r="C58" s="128" t="s">
        <v>37</v>
      </c>
      <c r="D58" s="129" t="s">
        <v>0</v>
      </c>
      <c r="E58" s="42"/>
      <c r="F58" s="181" t="s">
        <v>128</v>
      </c>
      <c r="G58" s="182"/>
    </row>
    <row r="59" spans="1:10" ht="15.75" thickBot="1" x14ac:dyDescent="0.3">
      <c r="A59" s="24" t="s">
        <v>129</v>
      </c>
      <c r="B59" s="25">
        <v>5</v>
      </c>
      <c r="C59" s="25" t="s">
        <v>130</v>
      </c>
      <c r="D59" s="26">
        <v>43387</v>
      </c>
      <c r="E59" s="43"/>
      <c r="F59" s="23"/>
      <c r="G59" s="45"/>
    </row>
    <row r="60" spans="1:10" ht="15.75" thickBot="1" x14ac:dyDescent="0.3">
      <c r="A60" s="126" t="s">
        <v>4</v>
      </c>
      <c r="B60" s="128" t="s">
        <v>13</v>
      </c>
      <c r="C60" s="128" t="s">
        <v>1</v>
      </c>
      <c r="D60" s="128" t="s">
        <v>14</v>
      </c>
      <c r="E60" s="130" t="s">
        <v>0</v>
      </c>
      <c r="F60" s="128" t="s">
        <v>3</v>
      </c>
      <c r="G60"/>
    </row>
    <row r="61" spans="1:10" x14ac:dyDescent="0.25">
      <c r="A61" s="28" t="s">
        <v>131</v>
      </c>
      <c r="B61" s="29"/>
      <c r="C61" s="30"/>
      <c r="D61" s="31"/>
      <c r="E61" s="44"/>
      <c r="F61" s="61"/>
      <c r="G61"/>
    </row>
    <row r="62" spans="1:10" x14ac:dyDescent="0.25">
      <c r="A62" s="28" t="s">
        <v>132</v>
      </c>
      <c r="B62" s="29"/>
      <c r="C62" s="30"/>
      <c r="D62" s="31"/>
      <c r="E62" s="44"/>
      <c r="F62" s="61"/>
      <c r="G62"/>
    </row>
    <row r="63" spans="1:10" x14ac:dyDescent="0.25">
      <c r="A63" s="28" t="s">
        <v>133</v>
      </c>
      <c r="B63" s="29"/>
      <c r="C63" s="30"/>
      <c r="D63" s="31"/>
      <c r="E63" s="44"/>
      <c r="F63" s="61"/>
      <c r="G63"/>
    </row>
    <row r="64" spans="1:10" x14ac:dyDescent="0.25">
      <c r="A64" s="28" t="s">
        <v>134</v>
      </c>
      <c r="B64" s="29"/>
      <c r="C64" s="30"/>
      <c r="D64" s="31"/>
      <c r="E64" s="44"/>
      <c r="F64" s="61"/>
      <c r="G64"/>
    </row>
    <row r="65" spans="1:10" ht="15.75" thickBot="1" x14ac:dyDescent="0.3">
      <c r="A65" s="28" t="s">
        <v>135</v>
      </c>
      <c r="B65" s="29"/>
      <c r="C65" s="30"/>
      <c r="D65" s="31"/>
      <c r="E65" s="44"/>
      <c r="F65" s="61"/>
      <c r="G65"/>
    </row>
    <row r="66" spans="1:10" ht="15.75" thickBot="1" x14ac:dyDescent="0.3">
      <c r="C66" s="38">
        <f>SUM(C61:C65)</f>
        <v>0</v>
      </c>
      <c r="D66" s="40"/>
    </row>
    <row r="68" spans="1:10" ht="15.75" thickBot="1" x14ac:dyDescent="0.3"/>
    <row r="69" spans="1:10" ht="15.75" thickBot="1" x14ac:dyDescent="0.3">
      <c r="A69" s="63" t="s">
        <v>12</v>
      </c>
      <c r="B69" s="64" t="s">
        <v>36</v>
      </c>
      <c r="C69" s="64" t="s">
        <v>37</v>
      </c>
      <c r="D69" s="68" t="s">
        <v>0</v>
      </c>
      <c r="E69" s="42"/>
      <c r="G69"/>
      <c r="H69" s="23"/>
      <c r="I69" s="23"/>
    </row>
    <row r="70" spans="1:10" ht="15.75" thickBot="1" x14ac:dyDescent="0.3">
      <c r="A70" s="24" t="s">
        <v>137</v>
      </c>
      <c r="B70" s="25">
        <v>5</v>
      </c>
      <c r="C70" s="25" t="s">
        <v>138</v>
      </c>
      <c r="D70" s="26"/>
      <c r="E70" s="43"/>
      <c r="F70" s="23"/>
      <c r="G70" s="45"/>
      <c r="H70" s="23"/>
      <c r="I70" s="23"/>
    </row>
    <row r="71" spans="1:10" ht="15.75" thickBot="1" x14ac:dyDescent="0.3">
      <c r="A71" s="63" t="s">
        <v>4</v>
      </c>
      <c r="B71" s="64" t="s">
        <v>13</v>
      </c>
      <c r="C71" s="64" t="s">
        <v>1</v>
      </c>
      <c r="D71" s="64" t="s">
        <v>14</v>
      </c>
      <c r="E71" s="65" t="s">
        <v>0</v>
      </c>
      <c r="F71" s="64" t="s">
        <v>15</v>
      </c>
      <c r="G71" s="66" t="s">
        <v>0</v>
      </c>
      <c r="H71" s="67" t="s">
        <v>9</v>
      </c>
      <c r="I71" s="68" t="s">
        <v>3</v>
      </c>
      <c r="J71" s="69" t="s">
        <v>2</v>
      </c>
    </row>
    <row r="72" spans="1:10" ht="15.75" thickBot="1" x14ac:dyDescent="0.3">
      <c r="A72" s="28"/>
      <c r="B72" s="29" t="s">
        <v>141</v>
      </c>
      <c r="C72" s="30">
        <v>300000</v>
      </c>
      <c r="D72" s="31"/>
      <c r="E72" s="53"/>
      <c r="F72" s="31"/>
      <c r="G72" s="44"/>
      <c r="H72" s="30">
        <f>SUM(D72,F72)</f>
        <v>0</v>
      </c>
      <c r="I72" s="55"/>
      <c r="J72" s="19">
        <f t="shared" ref="J72:J76" si="8">C72-H72</f>
        <v>300000</v>
      </c>
    </row>
    <row r="73" spans="1:10" ht="15.75" thickBot="1" x14ac:dyDescent="0.3">
      <c r="A73" s="28"/>
      <c r="B73" s="29" t="s">
        <v>142</v>
      </c>
      <c r="C73" s="30">
        <v>300000</v>
      </c>
      <c r="D73" s="31"/>
      <c r="E73" s="44"/>
      <c r="F73" s="31"/>
      <c r="G73" s="44"/>
      <c r="H73" s="30">
        <f t="shared" ref="H73:H76" si="9">SUM(D73,F73)</f>
        <v>0</v>
      </c>
      <c r="I73" s="57"/>
      <c r="J73" s="19">
        <f t="shared" si="8"/>
        <v>300000</v>
      </c>
    </row>
    <row r="74" spans="1:10" ht="15.75" thickBot="1" x14ac:dyDescent="0.3">
      <c r="A74" s="28"/>
      <c r="B74" s="29" t="s">
        <v>143</v>
      </c>
      <c r="C74" s="30">
        <v>300000</v>
      </c>
      <c r="D74" s="31"/>
      <c r="E74" s="44"/>
      <c r="F74" s="31"/>
      <c r="G74" s="44"/>
      <c r="H74" s="30">
        <f t="shared" si="9"/>
        <v>0</v>
      </c>
      <c r="I74" s="57"/>
      <c r="J74" s="19">
        <f t="shared" si="8"/>
        <v>300000</v>
      </c>
    </row>
    <row r="75" spans="1:10" ht="15.75" thickBot="1" x14ac:dyDescent="0.3">
      <c r="A75" s="28"/>
      <c r="B75" s="29" t="s">
        <v>144</v>
      </c>
      <c r="C75" s="30">
        <v>300000</v>
      </c>
      <c r="D75" s="31"/>
      <c r="E75" s="44"/>
      <c r="F75" s="31"/>
      <c r="G75" s="44"/>
      <c r="H75" s="30">
        <f t="shared" si="9"/>
        <v>0</v>
      </c>
      <c r="I75" s="57"/>
      <c r="J75" s="19">
        <f t="shared" si="8"/>
        <v>300000</v>
      </c>
    </row>
    <row r="76" spans="1:10" ht="15.75" thickBot="1" x14ac:dyDescent="0.3">
      <c r="A76" s="28" t="s">
        <v>140</v>
      </c>
      <c r="B76" s="29" t="s">
        <v>145</v>
      </c>
      <c r="C76" s="30">
        <v>300000</v>
      </c>
      <c r="D76" s="31">
        <v>150000</v>
      </c>
      <c r="E76" s="44">
        <v>43850</v>
      </c>
      <c r="F76" s="31"/>
      <c r="G76" s="44"/>
      <c r="H76" s="30">
        <f t="shared" si="9"/>
        <v>150000</v>
      </c>
      <c r="I76" s="57"/>
      <c r="J76" s="19">
        <f t="shared" si="8"/>
        <v>150000</v>
      </c>
    </row>
    <row r="77" spans="1:10" ht="15.75" thickBot="1" x14ac:dyDescent="0.3">
      <c r="A77" s="169" t="s">
        <v>72</v>
      </c>
      <c r="B77" s="170"/>
      <c r="C77" s="38">
        <f>SUM(C72:C76)</f>
        <v>1500000</v>
      </c>
      <c r="D77" s="2"/>
      <c r="E77" s="48"/>
      <c r="F77" s="169" t="s">
        <v>71</v>
      </c>
      <c r="G77" s="170"/>
      <c r="H77" s="38">
        <f>SUM(H72:H76)</f>
        <v>150000</v>
      </c>
      <c r="J77" s="62"/>
    </row>
    <row r="78" spans="1:10" ht="15.75" thickBot="1" x14ac:dyDescent="0.3">
      <c r="A78" s="2"/>
      <c r="B78" s="2"/>
      <c r="C78" s="2"/>
      <c r="D78" s="2"/>
      <c r="E78" s="48"/>
      <c r="F78" s="179" t="s">
        <v>73</v>
      </c>
      <c r="G78" s="180"/>
      <c r="H78" s="38">
        <f>C77-H77</f>
        <v>1350000</v>
      </c>
      <c r="J78" s="52"/>
    </row>
    <row r="79" spans="1:10" ht="15.75" thickBot="1" x14ac:dyDescent="0.3"/>
    <row r="80" spans="1:10" ht="15.75" thickBot="1" x14ac:dyDescent="0.3">
      <c r="A80" s="126" t="s">
        <v>12</v>
      </c>
      <c r="B80" s="128" t="s">
        <v>36</v>
      </c>
      <c r="C80" s="128" t="s">
        <v>37</v>
      </c>
      <c r="D80" s="129" t="s">
        <v>0</v>
      </c>
      <c r="E80" s="42"/>
      <c r="F80" s="181" t="s">
        <v>128</v>
      </c>
      <c r="G80" s="182"/>
    </row>
    <row r="81" spans="1:10" ht="15.75" thickBot="1" x14ac:dyDescent="0.3">
      <c r="A81" s="24" t="s">
        <v>137</v>
      </c>
      <c r="B81" s="25">
        <v>5</v>
      </c>
      <c r="C81" s="25" t="s">
        <v>138</v>
      </c>
      <c r="D81" s="26"/>
      <c r="E81" s="43"/>
      <c r="F81" s="23"/>
      <c r="G81" s="45"/>
    </row>
    <row r="82" spans="1:10" ht="15.75" thickBot="1" x14ac:dyDescent="0.3">
      <c r="A82" s="126" t="s">
        <v>4</v>
      </c>
      <c r="B82" s="128" t="s">
        <v>13</v>
      </c>
      <c r="C82" s="128" t="s">
        <v>1</v>
      </c>
      <c r="D82" s="128" t="s">
        <v>14</v>
      </c>
      <c r="E82" s="130" t="s">
        <v>0</v>
      </c>
      <c r="F82" s="128" t="s">
        <v>3</v>
      </c>
      <c r="G82"/>
    </row>
    <row r="83" spans="1:10" x14ac:dyDescent="0.25">
      <c r="A83" s="28"/>
      <c r="B83" s="29" t="s">
        <v>141</v>
      </c>
      <c r="C83" s="30">
        <v>40000</v>
      </c>
      <c r="D83" s="31"/>
      <c r="E83" s="44"/>
      <c r="F83" s="61"/>
      <c r="G83"/>
    </row>
    <row r="84" spans="1:10" x14ac:dyDescent="0.25">
      <c r="A84" s="28"/>
      <c r="B84" s="29" t="s">
        <v>142</v>
      </c>
      <c r="C84" s="30">
        <v>40000</v>
      </c>
      <c r="D84" s="31"/>
      <c r="E84" s="44"/>
      <c r="F84" s="61"/>
      <c r="G84"/>
    </row>
    <row r="85" spans="1:10" x14ac:dyDescent="0.25">
      <c r="A85" s="28"/>
      <c r="B85" s="29" t="s">
        <v>143</v>
      </c>
      <c r="C85" s="30">
        <v>40000</v>
      </c>
      <c r="D85" s="31"/>
      <c r="E85" s="44"/>
      <c r="F85" s="61"/>
      <c r="G85"/>
    </row>
    <row r="86" spans="1:10" x14ac:dyDescent="0.25">
      <c r="A86" s="28"/>
      <c r="B86" s="29" t="s">
        <v>144</v>
      </c>
      <c r="C86" s="30">
        <v>40000</v>
      </c>
      <c r="D86" s="31"/>
      <c r="E86" s="44"/>
      <c r="F86" s="61"/>
      <c r="G86"/>
    </row>
    <row r="87" spans="1:10" ht="15.75" thickBot="1" x14ac:dyDescent="0.3">
      <c r="A87" s="28" t="s">
        <v>139</v>
      </c>
      <c r="B87" s="29" t="s">
        <v>145</v>
      </c>
      <c r="C87" s="30">
        <v>40000</v>
      </c>
      <c r="D87" s="31"/>
      <c r="E87" s="44"/>
      <c r="F87" s="61"/>
      <c r="G87"/>
    </row>
    <row r="88" spans="1:10" ht="15.75" thickBot="1" x14ac:dyDescent="0.3">
      <c r="C88" s="38">
        <f>SUM(C83:C87)</f>
        <v>200000</v>
      </c>
      <c r="D88" s="40"/>
    </row>
    <row r="90" spans="1:10" ht="15.75" thickBot="1" x14ac:dyDescent="0.3"/>
    <row r="91" spans="1:10" ht="15.75" thickBot="1" x14ac:dyDescent="0.3">
      <c r="A91" s="20" t="s">
        <v>12</v>
      </c>
      <c r="B91" s="21" t="s">
        <v>36</v>
      </c>
      <c r="C91" s="21" t="s">
        <v>37</v>
      </c>
      <c r="D91" s="22" t="s">
        <v>0</v>
      </c>
      <c r="E91" s="42"/>
      <c r="G91"/>
      <c r="H91" s="23"/>
      <c r="I91" s="23"/>
    </row>
    <row r="92" spans="1:10" ht="15.75" thickBot="1" x14ac:dyDescent="0.3">
      <c r="A92" s="24" t="s">
        <v>154</v>
      </c>
      <c r="B92" s="25">
        <v>5</v>
      </c>
      <c r="C92" s="25" t="s">
        <v>146</v>
      </c>
      <c r="D92" s="26"/>
      <c r="E92" s="43"/>
      <c r="F92" s="23"/>
      <c r="G92" s="45"/>
      <c r="H92" s="23"/>
      <c r="I92" s="23"/>
    </row>
    <row r="93" spans="1:10" ht="15.75" thickBot="1" x14ac:dyDescent="0.3">
      <c r="A93" s="20" t="s">
        <v>4</v>
      </c>
      <c r="B93" s="21" t="s">
        <v>13</v>
      </c>
      <c r="C93" s="21" t="s">
        <v>1</v>
      </c>
      <c r="D93" s="21" t="s">
        <v>14</v>
      </c>
      <c r="E93" s="41" t="s">
        <v>0</v>
      </c>
      <c r="F93" s="21" t="s">
        <v>15</v>
      </c>
      <c r="G93" s="46" t="s">
        <v>0</v>
      </c>
      <c r="H93" s="27" t="s">
        <v>9</v>
      </c>
      <c r="I93" s="22" t="s">
        <v>3</v>
      </c>
      <c r="J93" s="9" t="s">
        <v>2</v>
      </c>
    </row>
    <row r="94" spans="1:10" ht="15.75" thickBot="1" x14ac:dyDescent="0.3">
      <c r="A94" s="28" t="s">
        <v>147</v>
      </c>
      <c r="B94" s="29"/>
      <c r="C94" s="30">
        <v>450000</v>
      </c>
      <c r="D94" s="31">
        <v>250000</v>
      </c>
      <c r="E94" s="54">
        <v>43387</v>
      </c>
      <c r="F94" s="31"/>
      <c r="G94" s="44"/>
      <c r="H94" s="30">
        <f>SUM(D94,F94)</f>
        <v>250000</v>
      </c>
      <c r="I94" s="55"/>
      <c r="J94" s="34">
        <f t="shared" ref="J94:J98" si="10">C94-H94</f>
        <v>200000</v>
      </c>
    </row>
    <row r="95" spans="1:10" ht="15.75" thickBot="1" x14ac:dyDescent="0.3">
      <c r="A95" s="28" t="s">
        <v>148</v>
      </c>
      <c r="B95" s="29"/>
      <c r="C95" s="30">
        <v>150000</v>
      </c>
      <c r="D95" s="31">
        <v>100000</v>
      </c>
      <c r="E95" s="44">
        <v>43413</v>
      </c>
      <c r="F95" s="31">
        <v>50000</v>
      </c>
      <c r="G95" s="44">
        <v>43471</v>
      </c>
      <c r="H95" s="30">
        <f t="shared" ref="H95:H98" si="11">SUM(D95,F95)</f>
        <v>150000</v>
      </c>
      <c r="I95" s="57" t="s">
        <v>5</v>
      </c>
      <c r="J95" s="34">
        <f t="shared" si="10"/>
        <v>0</v>
      </c>
    </row>
    <row r="96" spans="1:10" ht="15.75" thickBot="1" x14ac:dyDescent="0.3">
      <c r="A96" s="28" t="s">
        <v>149</v>
      </c>
      <c r="B96" s="29"/>
      <c r="C96" s="30">
        <v>450000</v>
      </c>
      <c r="D96" s="31">
        <v>250000</v>
      </c>
      <c r="E96" s="44">
        <v>43490</v>
      </c>
      <c r="F96" s="31">
        <v>200000</v>
      </c>
      <c r="G96" s="44">
        <v>43826</v>
      </c>
      <c r="H96" s="30">
        <f t="shared" si="11"/>
        <v>450000</v>
      </c>
      <c r="I96" s="57" t="s">
        <v>5</v>
      </c>
      <c r="J96" s="34">
        <f t="shared" si="10"/>
        <v>0</v>
      </c>
    </row>
    <row r="97" spans="1:10" ht="15.75" thickBot="1" x14ac:dyDescent="0.3">
      <c r="A97" s="28" t="s">
        <v>150</v>
      </c>
      <c r="B97" s="29"/>
      <c r="C97" s="30">
        <v>150000</v>
      </c>
      <c r="D97" s="31">
        <v>150000</v>
      </c>
      <c r="E97" s="44">
        <v>43706</v>
      </c>
      <c r="F97" s="31"/>
      <c r="G97" s="44"/>
      <c r="H97" s="30">
        <f t="shared" si="11"/>
        <v>150000</v>
      </c>
      <c r="I97" s="57" t="s">
        <v>5</v>
      </c>
      <c r="J97" s="34">
        <f t="shared" si="10"/>
        <v>0</v>
      </c>
    </row>
    <row r="98" spans="1:10" ht="15.75" thickBot="1" x14ac:dyDescent="0.3">
      <c r="A98" s="28" t="s">
        <v>151</v>
      </c>
      <c r="B98" s="29"/>
      <c r="C98" s="30">
        <v>150000</v>
      </c>
      <c r="D98" s="31">
        <v>80000</v>
      </c>
      <c r="E98" s="44">
        <v>43380</v>
      </c>
      <c r="F98" s="31">
        <v>70000</v>
      </c>
      <c r="G98" s="44">
        <v>44137</v>
      </c>
      <c r="H98" s="30">
        <f t="shared" si="11"/>
        <v>150000</v>
      </c>
      <c r="I98" s="57" t="s">
        <v>5</v>
      </c>
      <c r="J98" s="34">
        <f t="shared" si="10"/>
        <v>0</v>
      </c>
    </row>
    <row r="99" spans="1:10" ht="15.75" thickBot="1" x14ac:dyDescent="0.3">
      <c r="A99" s="183" t="s">
        <v>72</v>
      </c>
      <c r="B99" s="184"/>
      <c r="C99" s="38">
        <f>SUM(C94:C98)</f>
        <v>1350000</v>
      </c>
      <c r="D99" s="2"/>
      <c r="E99" s="48"/>
      <c r="F99" s="183" t="s">
        <v>71</v>
      </c>
      <c r="G99" s="184"/>
      <c r="H99" s="38">
        <f>SUM(H94:H98)</f>
        <v>1150000</v>
      </c>
    </row>
    <row r="100" spans="1:10" ht="15.75" thickBot="1" x14ac:dyDescent="0.3">
      <c r="A100" s="2"/>
      <c r="B100" s="2"/>
      <c r="C100" s="2"/>
      <c r="D100" s="2"/>
      <c r="E100" s="48"/>
      <c r="F100" s="177" t="s">
        <v>73</v>
      </c>
      <c r="G100" s="178"/>
      <c r="H100" s="38">
        <f>C99-H99</f>
        <v>200000</v>
      </c>
      <c r="J100" s="52"/>
    </row>
    <row r="102" spans="1:10" x14ac:dyDescent="0.25">
      <c r="E102"/>
      <c r="G102"/>
    </row>
    <row r="103" spans="1:10" x14ac:dyDescent="0.25">
      <c r="E103"/>
      <c r="G103"/>
    </row>
    <row r="104" spans="1:10" x14ac:dyDescent="0.25">
      <c r="E104"/>
      <c r="G104"/>
    </row>
    <row r="105" spans="1:10" x14ac:dyDescent="0.25">
      <c r="E105"/>
      <c r="G105"/>
    </row>
    <row r="106" spans="1:10" x14ac:dyDescent="0.25">
      <c r="E106"/>
      <c r="G106"/>
    </row>
    <row r="107" spans="1:10" x14ac:dyDescent="0.25">
      <c r="E107"/>
      <c r="G107"/>
    </row>
    <row r="108" spans="1:10" x14ac:dyDescent="0.25">
      <c r="E108"/>
      <c r="G108"/>
    </row>
    <row r="109" spans="1:10" x14ac:dyDescent="0.25">
      <c r="E109"/>
      <c r="G109"/>
    </row>
    <row r="110" spans="1:10" x14ac:dyDescent="0.25">
      <c r="E110"/>
      <c r="G110"/>
    </row>
    <row r="111" spans="1:10" x14ac:dyDescent="0.25">
      <c r="E111"/>
      <c r="G111"/>
    </row>
  </sheetData>
  <mergeCells count="23">
    <mergeCell ref="F37:G37"/>
    <mergeCell ref="A24:B24"/>
    <mergeCell ref="F24:G24"/>
    <mergeCell ref="F25:G25"/>
    <mergeCell ref="A34:B34"/>
    <mergeCell ref="F34:G34"/>
    <mergeCell ref="A9:B9"/>
    <mergeCell ref="F9:G9"/>
    <mergeCell ref="F10:G10"/>
    <mergeCell ref="A1:I1"/>
    <mergeCell ref="F35:G35"/>
    <mergeCell ref="A55:B55"/>
    <mergeCell ref="F55:G55"/>
    <mergeCell ref="F56:G56"/>
    <mergeCell ref="F58:G58"/>
    <mergeCell ref="A45:I45"/>
    <mergeCell ref="F100:G100"/>
    <mergeCell ref="A77:B77"/>
    <mergeCell ref="F77:G77"/>
    <mergeCell ref="F78:G78"/>
    <mergeCell ref="F80:G80"/>
    <mergeCell ref="A99:B99"/>
    <mergeCell ref="F99:G99"/>
  </mergeCells>
  <phoneticPr fontId="9" type="noConversion"/>
  <conditionalFormatting sqref="A105:D109">
    <cfRule type="expression" dxfId="49" priority="12">
      <formula>$J105="NO CONCRETADO"</formula>
    </cfRule>
    <cfRule type="expression" dxfId="48" priority="13">
      <formula>$J105="AVANZANDO"</formula>
    </cfRule>
    <cfRule type="expression" dxfId="47" priority="14">
      <formula>$J105="COMPLETO"</formula>
    </cfRule>
  </conditionalFormatting>
  <conditionalFormatting sqref="E105:F109">
    <cfRule type="expression" dxfId="46" priority="24">
      <formula>$J105="NO CONCRETADO"</formula>
    </cfRule>
    <cfRule type="expression" dxfId="45" priority="25">
      <formula>$J105="AVANZANDO"</formula>
    </cfRule>
    <cfRule type="expression" dxfId="44" priority="26">
      <formula>$J105="COMPLETO"</formula>
    </cfRule>
  </conditionalFormatting>
  <conditionalFormatting sqref="A6:J8">
    <cfRule type="expression" dxfId="43" priority="11">
      <formula>$I6="PAGADO"</formula>
    </cfRule>
  </conditionalFormatting>
  <conditionalFormatting sqref="A16:J22">
    <cfRule type="expression" dxfId="42" priority="10">
      <formula>$I16="PAGADO"</formula>
    </cfRule>
  </conditionalFormatting>
  <conditionalFormatting sqref="A31:J33">
    <cfRule type="expression" dxfId="41" priority="9">
      <formula>$I31="PAGADO"</formula>
    </cfRule>
  </conditionalFormatting>
  <conditionalFormatting sqref="A40:F42">
    <cfRule type="expression" dxfId="40" priority="8">
      <formula>$F40="PAGADO"</formula>
    </cfRule>
  </conditionalFormatting>
  <conditionalFormatting sqref="A50:J54">
    <cfRule type="expression" dxfId="39" priority="7">
      <formula>$I50="PAGADO"</formula>
    </cfRule>
  </conditionalFormatting>
  <conditionalFormatting sqref="A61:F65">
    <cfRule type="expression" dxfId="38" priority="5">
      <formula>$F61="PAGADO"</formula>
    </cfRule>
  </conditionalFormatting>
  <conditionalFormatting sqref="A72:J76">
    <cfRule type="expression" dxfId="37" priority="4">
      <formula>$I72="PAGADO"</formula>
    </cfRule>
  </conditionalFormatting>
  <conditionalFormatting sqref="A83:F87">
    <cfRule type="expression" dxfId="36" priority="3">
      <formula>$F83="PAGADO"</formula>
    </cfRule>
  </conditionalFormatting>
  <conditionalFormatting sqref="A94:J98">
    <cfRule type="expression" dxfId="35" priority="1">
      <formula>$I94="PAGADO"</formula>
    </cfRule>
  </conditionalFormatting>
  <dataValidations count="1">
    <dataValidation type="list" allowBlank="1" showInputMessage="1" showErrorMessage="1" sqref="I6:I8 I16:I22 I31:I33 F40:F42 I50:I54 F61:F65 I72:I76 F83:F87 I94:I98 Q99:R99" xr:uid="{00000000-0002-0000-0400-000000000000}">
      <formula1>$K$1</formula1>
    </dataValidation>
  </dataValidations>
  <pageMargins left="0.7" right="0.7" top="0.75" bottom="0.75" header="0.3" footer="0.3"/>
  <pageSetup paperSize="5" scale="89" orientation="portrait" r:id="rId1"/>
  <rowBreaks count="2" manualBreakCount="2">
    <brk id="44" max="8" man="1"/>
    <brk id="100" max="8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5:L60"/>
  <sheetViews>
    <sheetView tabSelected="1" topLeftCell="A40" workbookViewId="0">
      <selection activeCell="B56" sqref="B56"/>
    </sheetView>
  </sheetViews>
  <sheetFormatPr baseColWidth="10" defaultRowHeight="15" x14ac:dyDescent="0.25"/>
  <cols>
    <col min="2" max="2" width="21" bestFit="1" customWidth="1"/>
    <col min="3" max="3" width="15.85546875" bestFit="1" customWidth="1"/>
  </cols>
  <sheetData>
    <row r="5" spans="1:12" x14ac:dyDescent="0.25">
      <c r="A5" s="107" t="s">
        <v>180</v>
      </c>
      <c r="B5" s="108" t="s">
        <v>177</v>
      </c>
      <c r="C5" s="109" t="s">
        <v>178</v>
      </c>
      <c r="D5" s="109"/>
      <c r="E5" s="102">
        <v>950000</v>
      </c>
      <c r="F5" s="103">
        <v>200000</v>
      </c>
      <c r="G5" s="103">
        <v>750000</v>
      </c>
      <c r="H5" s="103"/>
      <c r="I5" s="103"/>
      <c r="J5" s="104">
        <f t="shared" ref="J5:J6" si="0">SUM(F5:I5)</f>
        <v>950000</v>
      </c>
      <c r="K5" s="56" t="s">
        <v>176</v>
      </c>
      <c r="L5" s="105">
        <f t="shared" ref="L5:L6" si="1">E5-J5</f>
        <v>0</v>
      </c>
    </row>
    <row r="6" spans="1:12" x14ac:dyDescent="0.25">
      <c r="A6" s="110"/>
      <c r="B6" s="111"/>
      <c r="C6" s="112" t="s">
        <v>179</v>
      </c>
      <c r="D6" s="112"/>
      <c r="E6" s="106">
        <v>450000</v>
      </c>
      <c r="F6" s="103">
        <v>250000</v>
      </c>
      <c r="G6" s="103">
        <v>40000</v>
      </c>
      <c r="H6" s="103">
        <v>40000</v>
      </c>
      <c r="I6" s="103"/>
      <c r="J6" s="104">
        <f t="shared" si="0"/>
        <v>330000</v>
      </c>
      <c r="K6" s="56"/>
      <c r="L6" s="105">
        <f t="shared" si="1"/>
        <v>120000</v>
      </c>
    </row>
    <row r="8" spans="1:12" x14ac:dyDescent="0.25">
      <c r="A8" s="110" t="s">
        <v>196</v>
      </c>
      <c r="B8" s="108" t="s">
        <v>181</v>
      </c>
      <c r="C8" s="108"/>
      <c r="D8" s="108"/>
      <c r="E8" s="106">
        <v>0</v>
      </c>
      <c r="F8" s="103">
        <v>0</v>
      </c>
      <c r="G8" s="103"/>
      <c r="H8" s="103"/>
      <c r="I8" s="103"/>
      <c r="J8" s="104">
        <f t="shared" ref="J8:J20" si="2">SUM(F8:I8)</f>
        <v>0</v>
      </c>
      <c r="K8" s="56"/>
      <c r="L8" s="105">
        <f t="shared" ref="L8:L20" si="3">E8-J8</f>
        <v>0</v>
      </c>
    </row>
    <row r="9" spans="1:12" x14ac:dyDescent="0.25">
      <c r="A9" s="110"/>
      <c r="B9" s="108" t="s">
        <v>182</v>
      </c>
      <c r="C9" s="108" t="s">
        <v>183</v>
      </c>
      <c r="D9" s="108"/>
      <c r="E9" s="106">
        <v>400000</v>
      </c>
      <c r="F9" s="103">
        <v>200000</v>
      </c>
      <c r="G9" s="103">
        <v>120000</v>
      </c>
      <c r="H9" s="103"/>
      <c r="I9" s="103"/>
      <c r="J9" s="104">
        <f t="shared" si="2"/>
        <v>320000</v>
      </c>
      <c r="K9" s="56"/>
      <c r="L9" s="105">
        <f t="shared" si="3"/>
        <v>80000</v>
      </c>
    </row>
    <row r="10" spans="1:12" x14ac:dyDescent="0.25">
      <c r="A10" s="110"/>
      <c r="B10" s="108"/>
      <c r="C10" s="113" t="s">
        <v>184</v>
      </c>
      <c r="D10" s="113"/>
      <c r="E10" s="106">
        <v>80000</v>
      </c>
      <c r="F10" s="103">
        <v>40000</v>
      </c>
      <c r="G10" s="103"/>
      <c r="H10" s="103"/>
      <c r="I10" s="103"/>
      <c r="J10" s="104">
        <f t="shared" si="2"/>
        <v>40000</v>
      </c>
      <c r="K10" s="56"/>
      <c r="L10" s="105">
        <f t="shared" si="3"/>
        <v>40000</v>
      </c>
    </row>
    <row r="11" spans="1:12" x14ac:dyDescent="0.25">
      <c r="A11" s="110"/>
      <c r="B11" s="108" t="s">
        <v>185</v>
      </c>
      <c r="C11" s="108" t="s">
        <v>186</v>
      </c>
      <c r="D11" s="108"/>
      <c r="E11" s="106">
        <v>200000</v>
      </c>
      <c r="F11" s="103">
        <v>200000</v>
      </c>
      <c r="G11" s="103"/>
      <c r="H11" s="103"/>
      <c r="I11" s="103"/>
      <c r="J11" s="104">
        <f t="shared" si="2"/>
        <v>200000</v>
      </c>
      <c r="K11" s="56" t="s">
        <v>187</v>
      </c>
      <c r="L11" s="105">
        <f t="shared" si="3"/>
        <v>0</v>
      </c>
    </row>
    <row r="12" spans="1:12" x14ac:dyDescent="0.25">
      <c r="A12" s="110"/>
      <c r="B12" s="108"/>
      <c r="C12" s="108" t="s">
        <v>184</v>
      </c>
      <c r="D12" s="108"/>
      <c r="E12" s="106">
        <v>40000</v>
      </c>
      <c r="F12" s="103">
        <v>40000</v>
      </c>
      <c r="G12" s="103"/>
      <c r="H12" s="103"/>
      <c r="I12" s="103"/>
      <c r="J12" s="104">
        <f t="shared" si="2"/>
        <v>40000</v>
      </c>
      <c r="K12" s="56"/>
      <c r="L12" s="105">
        <f t="shared" si="3"/>
        <v>0</v>
      </c>
    </row>
    <row r="13" spans="1:12" x14ac:dyDescent="0.25">
      <c r="A13" s="110"/>
      <c r="B13" s="108" t="s">
        <v>188</v>
      </c>
      <c r="C13" s="108" t="s">
        <v>189</v>
      </c>
      <c r="D13" s="108"/>
      <c r="E13" s="106">
        <v>400000</v>
      </c>
      <c r="F13" s="103">
        <v>0</v>
      </c>
      <c r="G13" s="103"/>
      <c r="H13" s="103"/>
      <c r="I13" s="103"/>
      <c r="J13" s="104">
        <f t="shared" si="2"/>
        <v>0</v>
      </c>
      <c r="K13" s="56"/>
      <c r="L13" s="105">
        <f t="shared" si="3"/>
        <v>400000</v>
      </c>
    </row>
    <row r="14" spans="1:12" x14ac:dyDescent="0.25">
      <c r="A14" s="110"/>
      <c r="B14" s="108"/>
      <c r="C14" s="108" t="s">
        <v>184</v>
      </c>
      <c r="D14" s="108"/>
      <c r="E14" s="106">
        <v>80000</v>
      </c>
      <c r="F14" s="103">
        <v>0</v>
      </c>
      <c r="G14" s="103"/>
      <c r="H14" s="103"/>
      <c r="I14" s="103"/>
      <c r="J14" s="104">
        <f t="shared" si="2"/>
        <v>0</v>
      </c>
      <c r="K14" s="56"/>
      <c r="L14" s="105">
        <f t="shared" si="3"/>
        <v>80000</v>
      </c>
    </row>
    <row r="15" spans="1:12" x14ac:dyDescent="0.25">
      <c r="A15" s="110"/>
      <c r="B15" s="108" t="s">
        <v>190</v>
      </c>
      <c r="C15" s="108" t="s">
        <v>191</v>
      </c>
      <c r="D15" s="108"/>
      <c r="E15" s="106">
        <v>400000</v>
      </c>
      <c r="F15" s="103">
        <v>200000</v>
      </c>
      <c r="G15" s="103"/>
      <c r="H15" s="103"/>
      <c r="I15" s="103"/>
      <c r="J15" s="104">
        <f t="shared" si="2"/>
        <v>200000</v>
      </c>
      <c r="K15" s="56"/>
      <c r="L15" s="105">
        <f t="shared" si="3"/>
        <v>200000</v>
      </c>
    </row>
    <row r="16" spans="1:12" x14ac:dyDescent="0.25">
      <c r="A16" s="110"/>
      <c r="B16" s="108"/>
      <c r="C16" s="108" t="s">
        <v>184</v>
      </c>
      <c r="D16" s="108"/>
      <c r="E16" s="106">
        <v>80000</v>
      </c>
      <c r="F16" s="103">
        <v>40000</v>
      </c>
      <c r="G16" s="103"/>
      <c r="H16" s="103"/>
      <c r="I16" s="103"/>
      <c r="J16" s="104">
        <f t="shared" si="2"/>
        <v>40000</v>
      </c>
      <c r="K16" s="56"/>
      <c r="L16" s="105">
        <f t="shared" si="3"/>
        <v>40000</v>
      </c>
    </row>
    <row r="17" spans="1:12" x14ac:dyDescent="0.25">
      <c r="A17" s="110"/>
      <c r="B17" s="108" t="s">
        <v>192</v>
      </c>
      <c r="C17" s="108" t="s">
        <v>193</v>
      </c>
      <c r="D17" s="108"/>
      <c r="E17" s="106">
        <v>400000</v>
      </c>
      <c r="F17" s="103">
        <v>0</v>
      </c>
      <c r="G17" s="103"/>
      <c r="H17" s="103"/>
      <c r="I17" s="103"/>
      <c r="J17" s="104">
        <f t="shared" si="2"/>
        <v>0</v>
      </c>
      <c r="K17" s="56"/>
      <c r="L17" s="105">
        <f t="shared" si="3"/>
        <v>400000</v>
      </c>
    </row>
    <row r="18" spans="1:12" x14ac:dyDescent="0.25">
      <c r="A18" s="110"/>
      <c r="B18" s="108"/>
      <c r="C18" s="108" t="s">
        <v>184</v>
      </c>
      <c r="D18" s="108"/>
      <c r="E18" s="106">
        <v>80000</v>
      </c>
      <c r="F18" s="103">
        <v>0</v>
      </c>
      <c r="G18" s="103"/>
      <c r="H18" s="103"/>
      <c r="I18" s="103"/>
      <c r="J18" s="104">
        <f t="shared" si="2"/>
        <v>0</v>
      </c>
      <c r="K18" s="56"/>
      <c r="L18" s="105">
        <f t="shared" si="3"/>
        <v>80000</v>
      </c>
    </row>
    <row r="19" spans="1:12" x14ac:dyDescent="0.25">
      <c r="A19" s="110"/>
      <c r="B19" s="108" t="s">
        <v>194</v>
      </c>
      <c r="C19" s="108" t="s">
        <v>195</v>
      </c>
      <c r="D19" s="108"/>
      <c r="E19" s="106">
        <v>200000</v>
      </c>
      <c r="F19" s="103">
        <v>100000</v>
      </c>
      <c r="G19" s="103">
        <v>100000</v>
      </c>
      <c r="H19" s="103"/>
      <c r="I19" s="103"/>
      <c r="J19" s="104">
        <f t="shared" si="2"/>
        <v>200000</v>
      </c>
      <c r="K19" s="56"/>
      <c r="L19" s="105">
        <f t="shared" si="3"/>
        <v>0</v>
      </c>
    </row>
    <row r="20" spans="1:12" x14ac:dyDescent="0.25">
      <c r="A20" s="110"/>
      <c r="B20" s="108"/>
      <c r="C20" s="108" t="s">
        <v>184</v>
      </c>
      <c r="D20" s="108"/>
      <c r="E20" s="106">
        <v>40000</v>
      </c>
      <c r="F20" s="103">
        <v>40000</v>
      </c>
      <c r="G20" s="103"/>
      <c r="H20" s="103"/>
      <c r="I20" s="103"/>
      <c r="J20" s="104">
        <f t="shared" si="2"/>
        <v>40000</v>
      </c>
      <c r="K20" s="56"/>
      <c r="L20" s="105">
        <f t="shared" si="3"/>
        <v>0</v>
      </c>
    </row>
    <row r="22" spans="1:12" x14ac:dyDescent="0.25">
      <c r="A22" s="131" t="s">
        <v>220</v>
      </c>
      <c r="B22" s="132" t="s">
        <v>211</v>
      </c>
      <c r="C22" s="132"/>
      <c r="D22" s="132"/>
      <c r="E22" s="133"/>
      <c r="F22" s="134"/>
      <c r="G22" s="134"/>
      <c r="H22" s="134"/>
      <c r="I22" s="134"/>
      <c r="J22" s="135"/>
      <c r="K22" s="136"/>
      <c r="L22" s="137">
        <f t="shared" ref="L22:L33" si="4">E22-J22</f>
        <v>0</v>
      </c>
    </row>
    <row r="23" spans="1:12" x14ac:dyDescent="0.25">
      <c r="A23" s="149"/>
      <c r="B23" s="132" t="s">
        <v>212</v>
      </c>
      <c r="C23" s="108" t="s">
        <v>183</v>
      </c>
      <c r="D23" s="108"/>
      <c r="E23" s="133">
        <v>222220</v>
      </c>
      <c r="F23" s="134">
        <v>100000</v>
      </c>
      <c r="G23" s="134"/>
      <c r="H23" s="134"/>
      <c r="I23" s="134"/>
      <c r="J23" s="135">
        <f t="shared" ref="J23:J33" si="5">SUM(F23:I23)</f>
        <v>100000</v>
      </c>
      <c r="K23" s="136"/>
      <c r="L23" s="137">
        <f t="shared" si="4"/>
        <v>122220</v>
      </c>
    </row>
    <row r="24" spans="1:12" x14ac:dyDescent="0.25">
      <c r="A24" s="149"/>
      <c r="B24" s="132" t="s">
        <v>213</v>
      </c>
      <c r="C24" s="108" t="s">
        <v>186</v>
      </c>
      <c r="D24" s="108"/>
      <c r="E24" s="133">
        <v>170000</v>
      </c>
      <c r="F24" s="134">
        <v>40000</v>
      </c>
      <c r="G24" s="134"/>
      <c r="H24" s="134"/>
      <c r="I24" s="134"/>
      <c r="J24" s="135">
        <f t="shared" si="5"/>
        <v>40000</v>
      </c>
      <c r="K24" s="136"/>
      <c r="L24" s="137">
        <f t="shared" si="4"/>
        <v>130000</v>
      </c>
    </row>
    <row r="25" spans="1:12" x14ac:dyDescent="0.25">
      <c r="A25" s="149"/>
      <c r="B25" s="144" t="s">
        <v>214</v>
      </c>
      <c r="C25" s="144" t="s">
        <v>189</v>
      </c>
      <c r="D25" s="144"/>
      <c r="E25" s="145">
        <v>170000</v>
      </c>
      <c r="F25" s="146">
        <v>170000</v>
      </c>
      <c r="G25" s="146">
        <v>0</v>
      </c>
      <c r="H25" s="146">
        <v>0</v>
      </c>
      <c r="I25" s="146">
        <v>0</v>
      </c>
      <c r="J25" s="147">
        <f t="shared" si="5"/>
        <v>170000</v>
      </c>
      <c r="K25" s="148"/>
      <c r="L25" s="143">
        <f t="shared" si="4"/>
        <v>0</v>
      </c>
    </row>
    <row r="26" spans="1:12" x14ac:dyDescent="0.25">
      <c r="A26" s="149"/>
      <c r="B26" s="132" t="s">
        <v>215</v>
      </c>
      <c r="C26" s="108" t="s">
        <v>191</v>
      </c>
      <c r="D26" s="108"/>
      <c r="E26" s="133">
        <v>600000</v>
      </c>
      <c r="F26" s="134"/>
      <c r="G26" s="134"/>
      <c r="H26" s="134"/>
      <c r="I26" s="134"/>
      <c r="J26" s="135">
        <f t="shared" si="5"/>
        <v>0</v>
      </c>
      <c r="K26" s="136"/>
      <c r="L26" s="137">
        <f t="shared" si="4"/>
        <v>600000</v>
      </c>
    </row>
    <row r="27" spans="1:12" x14ac:dyDescent="0.25">
      <c r="A27" s="149"/>
      <c r="B27" s="144" t="s">
        <v>216</v>
      </c>
      <c r="C27" s="144" t="s">
        <v>193</v>
      </c>
      <c r="D27" s="144"/>
      <c r="E27" s="145">
        <v>250000</v>
      </c>
      <c r="F27" s="146">
        <v>250000</v>
      </c>
      <c r="G27" s="146">
        <v>0</v>
      </c>
      <c r="H27" s="146">
        <v>0</v>
      </c>
      <c r="I27" s="146">
        <v>0</v>
      </c>
      <c r="J27" s="147">
        <f t="shared" si="5"/>
        <v>250000</v>
      </c>
      <c r="K27" s="148"/>
      <c r="L27" s="143">
        <f t="shared" si="4"/>
        <v>0</v>
      </c>
    </row>
    <row r="28" spans="1:12" x14ac:dyDescent="0.25">
      <c r="A28" s="149"/>
      <c r="B28" s="132" t="s">
        <v>217</v>
      </c>
      <c r="C28" s="108" t="s">
        <v>195</v>
      </c>
      <c r="D28" s="108"/>
      <c r="E28" s="133">
        <v>222220</v>
      </c>
      <c r="F28" s="134">
        <v>125000</v>
      </c>
      <c r="G28" s="134"/>
      <c r="H28" s="134"/>
      <c r="I28" s="134"/>
      <c r="J28" s="135">
        <f t="shared" si="5"/>
        <v>125000</v>
      </c>
      <c r="K28" s="136"/>
      <c r="L28" s="137">
        <f t="shared" si="4"/>
        <v>97220</v>
      </c>
    </row>
    <row r="29" spans="1:12" x14ac:dyDescent="0.25">
      <c r="A29" s="149"/>
      <c r="B29" s="132"/>
      <c r="C29" s="108" t="s">
        <v>206</v>
      </c>
      <c r="D29" s="108"/>
      <c r="E29" s="133"/>
      <c r="F29" s="134"/>
      <c r="G29" s="134"/>
      <c r="H29" s="134"/>
      <c r="I29" s="134"/>
      <c r="J29" s="135">
        <f t="shared" si="5"/>
        <v>0</v>
      </c>
      <c r="K29" s="136"/>
      <c r="L29" s="137">
        <f t="shared" si="4"/>
        <v>0</v>
      </c>
    </row>
    <row r="30" spans="1:12" x14ac:dyDescent="0.25">
      <c r="A30" s="149"/>
      <c r="B30" s="132"/>
      <c r="C30" s="108" t="s">
        <v>207</v>
      </c>
      <c r="D30" s="108"/>
      <c r="E30" s="133"/>
      <c r="F30" s="134"/>
      <c r="G30" s="134"/>
      <c r="H30" s="134"/>
      <c r="I30" s="134"/>
      <c r="J30" s="135">
        <f t="shared" si="5"/>
        <v>0</v>
      </c>
      <c r="K30" s="136"/>
      <c r="L30" s="137">
        <f t="shared" si="4"/>
        <v>0</v>
      </c>
    </row>
    <row r="31" spans="1:12" x14ac:dyDescent="0.25">
      <c r="A31" s="149"/>
      <c r="B31" s="132"/>
      <c r="C31" s="108" t="s">
        <v>208</v>
      </c>
      <c r="D31" s="108"/>
      <c r="E31" s="133"/>
      <c r="F31" s="134"/>
      <c r="G31" s="134"/>
      <c r="H31" s="134"/>
      <c r="I31" s="134"/>
      <c r="J31" s="135">
        <f t="shared" si="5"/>
        <v>0</v>
      </c>
      <c r="K31" s="136"/>
      <c r="L31" s="137">
        <f t="shared" si="4"/>
        <v>0</v>
      </c>
    </row>
    <row r="32" spans="1:12" x14ac:dyDescent="0.25">
      <c r="A32" s="149"/>
      <c r="B32" s="132"/>
      <c r="C32" s="132" t="s">
        <v>209</v>
      </c>
      <c r="D32" s="132"/>
      <c r="E32" s="133"/>
      <c r="F32" s="134"/>
      <c r="G32" s="134"/>
      <c r="H32" s="134"/>
      <c r="I32" s="134"/>
      <c r="J32" s="135">
        <f t="shared" si="5"/>
        <v>0</v>
      </c>
      <c r="K32" s="136"/>
      <c r="L32" s="137">
        <f t="shared" si="4"/>
        <v>0</v>
      </c>
    </row>
    <row r="33" spans="1:12" x14ac:dyDescent="0.25">
      <c r="A33" s="149"/>
      <c r="B33" s="132"/>
      <c r="C33" s="132" t="s">
        <v>210</v>
      </c>
      <c r="D33" s="132"/>
      <c r="E33" s="133"/>
      <c r="F33" s="134"/>
      <c r="G33" s="134"/>
      <c r="H33" s="134" t="s">
        <v>218</v>
      </c>
      <c r="I33" s="134"/>
      <c r="J33" s="135">
        <f t="shared" si="5"/>
        <v>0</v>
      </c>
      <c r="K33" s="136"/>
      <c r="L33" s="137">
        <f t="shared" si="4"/>
        <v>0</v>
      </c>
    </row>
    <row r="35" spans="1:12" x14ac:dyDescent="0.25">
      <c r="A35" s="131" t="s">
        <v>231</v>
      </c>
      <c r="B35" s="132" t="s">
        <v>222</v>
      </c>
      <c r="C35" s="132" t="s">
        <v>223</v>
      </c>
      <c r="D35" s="132"/>
      <c r="E35" s="133"/>
      <c r="F35" s="134"/>
      <c r="G35" s="134"/>
      <c r="H35" s="134"/>
      <c r="I35" s="134"/>
      <c r="J35" s="135"/>
      <c r="K35" s="136"/>
      <c r="L35" s="152">
        <f t="shared" ref="L35:L45" si="6">E35-J35</f>
        <v>0</v>
      </c>
    </row>
    <row r="36" spans="1:12" x14ac:dyDescent="0.25">
      <c r="A36" s="131"/>
      <c r="B36" s="132" t="s">
        <v>224</v>
      </c>
      <c r="C36" s="132" t="s">
        <v>183</v>
      </c>
      <c r="D36" s="132"/>
      <c r="E36" s="133">
        <v>285700</v>
      </c>
      <c r="F36" s="134">
        <v>50000</v>
      </c>
      <c r="G36" s="134">
        <v>50000</v>
      </c>
      <c r="H36" s="134">
        <v>50000</v>
      </c>
      <c r="I36" s="134">
        <v>50000</v>
      </c>
      <c r="J36" s="135">
        <f>SUM(F36:I37)</f>
        <v>200000</v>
      </c>
      <c r="K36" s="136"/>
      <c r="L36" s="152">
        <f t="shared" si="6"/>
        <v>85700</v>
      </c>
    </row>
    <row r="37" spans="1:12" x14ac:dyDescent="0.25">
      <c r="A37" s="149"/>
      <c r="B37" s="132"/>
      <c r="C37" s="132"/>
      <c r="D37" s="132"/>
      <c r="E37" s="133"/>
      <c r="F37" s="134"/>
      <c r="G37" s="134"/>
      <c r="H37" s="134"/>
      <c r="I37" s="134"/>
      <c r="J37" s="135"/>
      <c r="K37" s="136"/>
      <c r="L37" s="152">
        <f t="shared" si="6"/>
        <v>0</v>
      </c>
    </row>
    <row r="38" spans="1:12" x14ac:dyDescent="0.25">
      <c r="A38" s="149"/>
      <c r="B38" s="132" t="s">
        <v>225</v>
      </c>
      <c r="C38" s="132" t="s">
        <v>186</v>
      </c>
      <c r="D38" s="132"/>
      <c r="E38" s="133">
        <v>285700</v>
      </c>
      <c r="F38" s="134">
        <v>42850</v>
      </c>
      <c r="G38" s="134">
        <v>80950</v>
      </c>
      <c r="H38" s="134">
        <v>100000</v>
      </c>
      <c r="I38" s="134"/>
      <c r="J38" s="135">
        <f>SUM(F38:I39)</f>
        <v>223800</v>
      </c>
      <c r="K38" s="136"/>
      <c r="L38" s="152">
        <f t="shared" si="6"/>
        <v>61900</v>
      </c>
    </row>
    <row r="39" spans="1:12" x14ac:dyDescent="0.25">
      <c r="A39" s="149"/>
      <c r="B39" s="132"/>
      <c r="C39" s="132"/>
      <c r="D39" s="132"/>
      <c r="E39" s="133"/>
      <c r="F39" s="134"/>
      <c r="G39" s="134"/>
      <c r="H39" s="134"/>
      <c r="I39" s="134"/>
      <c r="J39" s="135"/>
      <c r="K39" s="136"/>
      <c r="L39" s="152">
        <f t="shared" si="6"/>
        <v>0</v>
      </c>
    </row>
    <row r="40" spans="1:12" x14ac:dyDescent="0.25">
      <c r="A40" s="149"/>
      <c r="B40" s="132" t="s">
        <v>226</v>
      </c>
      <c r="C40" s="132" t="s">
        <v>189</v>
      </c>
      <c r="D40" s="132"/>
      <c r="E40" s="133">
        <v>285700</v>
      </c>
      <c r="F40" s="134">
        <v>20000</v>
      </c>
      <c r="G40" s="134">
        <v>40000</v>
      </c>
      <c r="H40" s="134">
        <v>20000</v>
      </c>
      <c r="I40" s="134"/>
      <c r="J40" s="135">
        <f>SUM(F40:I41)</f>
        <v>80000</v>
      </c>
      <c r="K40" s="136"/>
      <c r="L40" s="152">
        <f t="shared" si="6"/>
        <v>205700</v>
      </c>
    </row>
    <row r="41" spans="1:12" x14ac:dyDescent="0.25">
      <c r="A41" s="149"/>
      <c r="B41" s="132"/>
      <c r="C41" s="132"/>
      <c r="D41" s="132"/>
      <c r="E41" s="133"/>
      <c r="F41" s="134"/>
      <c r="G41" s="134"/>
      <c r="H41" s="134"/>
      <c r="I41" s="134"/>
      <c r="J41" s="135"/>
      <c r="K41" s="136"/>
      <c r="L41" s="152">
        <f t="shared" si="6"/>
        <v>0</v>
      </c>
    </row>
    <row r="42" spans="1:12" x14ac:dyDescent="0.25">
      <c r="A42" s="149"/>
      <c r="B42" s="138" t="s">
        <v>227</v>
      </c>
      <c r="C42" s="138" t="s">
        <v>191</v>
      </c>
      <c r="D42" s="138"/>
      <c r="E42" s="139">
        <v>285700</v>
      </c>
      <c r="F42" s="140">
        <v>143000</v>
      </c>
      <c r="G42" s="140">
        <v>142700</v>
      </c>
      <c r="H42" s="140"/>
      <c r="I42" s="140"/>
      <c r="J42" s="141">
        <f t="shared" ref="J42:J45" si="7">SUM(F42:I42)</f>
        <v>285700</v>
      </c>
      <c r="K42" s="142"/>
      <c r="L42" s="153">
        <f t="shared" si="6"/>
        <v>0</v>
      </c>
    </row>
    <row r="43" spans="1:12" x14ac:dyDescent="0.25">
      <c r="A43" s="149"/>
      <c r="B43" s="138" t="s">
        <v>228</v>
      </c>
      <c r="C43" s="138" t="s">
        <v>193</v>
      </c>
      <c r="D43" s="138"/>
      <c r="E43" s="139">
        <v>285700</v>
      </c>
      <c r="F43" s="140">
        <v>143000</v>
      </c>
      <c r="G43" s="140">
        <v>142700</v>
      </c>
      <c r="H43" s="140"/>
      <c r="I43" s="140"/>
      <c r="J43" s="141">
        <f t="shared" si="7"/>
        <v>285700</v>
      </c>
      <c r="K43" s="142"/>
      <c r="L43" s="153">
        <f t="shared" si="6"/>
        <v>0</v>
      </c>
    </row>
    <row r="44" spans="1:12" x14ac:dyDescent="0.25">
      <c r="A44" s="149"/>
      <c r="B44" s="138" t="s">
        <v>229</v>
      </c>
      <c r="C44" s="138" t="s">
        <v>195</v>
      </c>
      <c r="D44" s="138"/>
      <c r="E44" s="139">
        <v>285700</v>
      </c>
      <c r="F44" s="140">
        <v>143000</v>
      </c>
      <c r="G44" s="140">
        <v>142700</v>
      </c>
      <c r="H44" s="140"/>
      <c r="I44" s="140"/>
      <c r="J44" s="141">
        <f t="shared" si="7"/>
        <v>285700</v>
      </c>
      <c r="K44" s="142"/>
      <c r="L44" s="153">
        <f t="shared" si="6"/>
        <v>0</v>
      </c>
    </row>
    <row r="45" spans="1:12" x14ac:dyDescent="0.25">
      <c r="A45" s="149"/>
      <c r="B45" s="138" t="s">
        <v>230</v>
      </c>
      <c r="C45" s="138" t="s">
        <v>206</v>
      </c>
      <c r="D45" s="138"/>
      <c r="E45" s="139">
        <v>285700</v>
      </c>
      <c r="F45" s="140">
        <v>142850</v>
      </c>
      <c r="G45" s="140">
        <v>142850</v>
      </c>
      <c r="H45" s="140"/>
      <c r="I45" s="140"/>
      <c r="J45" s="141">
        <f t="shared" si="7"/>
        <v>285700</v>
      </c>
      <c r="K45" s="142"/>
      <c r="L45" s="153">
        <f t="shared" si="6"/>
        <v>0</v>
      </c>
    </row>
    <row r="47" spans="1:12" x14ac:dyDescent="0.25">
      <c r="A47" s="131" t="s">
        <v>236</v>
      </c>
      <c r="B47" s="132" t="s">
        <v>232</v>
      </c>
      <c r="C47" s="132" t="s">
        <v>233</v>
      </c>
      <c r="D47" s="132"/>
      <c r="E47" s="133"/>
      <c r="F47" s="134"/>
      <c r="G47" s="134"/>
      <c r="H47" s="134"/>
      <c r="I47" s="134"/>
      <c r="J47" s="135"/>
      <c r="K47" s="136"/>
      <c r="L47" s="152">
        <f t="shared" ref="L47:L51" si="8">E47-J47</f>
        <v>0</v>
      </c>
    </row>
    <row r="48" spans="1:12" x14ac:dyDescent="0.25">
      <c r="A48" s="149"/>
      <c r="B48" s="132" t="s">
        <v>234</v>
      </c>
      <c r="C48" s="132" t="s">
        <v>235</v>
      </c>
      <c r="D48" s="132"/>
      <c r="E48" s="133">
        <v>300000</v>
      </c>
      <c r="F48" s="134">
        <v>50000</v>
      </c>
      <c r="G48" s="134"/>
      <c r="H48" s="134"/>
      <c r="I48" s="134"/>
      <c r="J48" s="135">
        <f t="shared" ref="J48:J51" si="9">SUM(F48:I48)</f>
        <v>50000</v>
      </c>
      <c r="K48" s="136"/>
      <c r="L48" s="152">
        <f t="shared" si="8"/>
        <v>250000</v>
      </c>
    </row>
    <row r="49" spans="1:12" x14ac:dyDescent="0.25">
      <c r="A49" s="149"/>
      <c r="B49" s="132"/>
      <c r="C49" s="132" t="s">
        <v>235</v>
      </c>
      <c r="D49" s="132"/>
      <c r="E49" s="133">
        <v>300000</v>
      </c>
      <c r="F49" s="134"/>
      <c r="G49" s="134"/>
      <c r="H49" s="134"/>
      <c r="I49" s="134"/>
      <c r="J49" s="135">
        <f t="shared" si="9"/>
        <v>0</v>
      </c>
      <c r="K49" s="136"/>
      <c r="L49" s="152">
        <f t="shared" si="8"/>
        <v>300000</v>
      </c>
    </row>
    <row r="50" spans="1:12" x14ac:dyDescent="0.25">
      <c r="A50" s="149"/>
      <c r="B50" s="132"/>
      <c r="C50" s="132" t="s">
        <v>235</v>
      </c>
      <c r="D50" s="132"/>
      <c r="E50" s="133">
        <v>300000</v>
      </c>
      <c r="F50" s="134"/>
      <c r="G50" s="134"/>
      <c r="H50" s="134"/>
      <c r="I50" s="134"/>
      <c r="J50" s="135">
        <f t="shared" si="9"/>
        <v>0</v>
      </c>
      <c r="K50" s="136"/>
      <c r="L50" s="152">
        <f t="shared" si="8"/>
        <v>300000</v>
      </c>
    </row>
    <row r="51" spans="1:12" x14ac:dyDescent="0.25">
      <c r="A51" s="149"/>
      <c r="B51" s="132"/>
      <c r="C51" s="132" t="s">
        <v>235</v>
      </c>
      <c r="D51" s="132"/>
      <c r="E51" s="133">
        <v>300000</v>
      </c>
      <c r="F51" s="134"/>
      <c r="G51" s="134"/>
      <c r="H51" s="134"/>
      <c r="I51" s="134"/>
      <c r="J51" s="135">
        <f t="shared" si="9"/>
        <v>0</v>
      </c>
      <c r="K51" s="136"/>
      <c r="L51" s="152">
        <f t="shared" si="8"/>
        <v>300000</v>
      </c>
    </row>
    <row r="53" spans="1:12" x14ac:dyDescent="0.25">
      <c r="A53" s="189" t="s">
        <v>246</v>
      </c>
      <c r="B53" s="132" t="s">
        <v>237</v>
      </c>
      <c r="C53" s="190" t="s">
        <v>238</v>
      </c>
      <c r="D53" s="132"/>
      <c r="E53" s="191">
        <v>222000</v>
      </c>
      <c r="F53" s="192"/>
      <c r="G53" s="134"/>
      <c r="H53" s="134"/>
      <c r="I53" s="134"/>
      <c r="J53" s="193">
        <f t="shared" ref="J53:J60" si="10">SUM(F53:I53)</f>
        <v>0</v>
      </c>
      <c r="K53" s="194"/>
      <c r="L53" s="195">
        <f t="shared" ref="L53:L60" si="11">E53-J53</f>
        <v>222000</v>
      </c>
    </row>
    <row r="54" spans="1:12" x14ac:dyDescent="0.25">
      <c r="A54" s="75"/>
      <c r="B54" s="132"/>
      <c r="C54" s="190" t="s">
        <v>239</v>
      </c>
      <c r="D54" s="132"/>
      <c r="E54" s="191">
        <v>222000</v>
      </c>
      <c r="F54" s="192"/>
      <c r="G54" s="134"/>
      <c r="H54" s="134"/>
      <c r="I54" s="134"/>
      <c r="J54" s="193">
        <f t="shared" si="10"/>
        <v>0</v>
      </c>
      <c r="K54" s="194"/>
      <c r="L54" s="195">
        <f t="shared" si="11"/>
        <v>222000</v>
      </c>
    </row>
    <row r="55" spans="1:12" x14ac:dyDescent="0.25">
      <c r="A55" s="75"/>
      <c r="B55" s="132"/>
      <c r="C55" s="190" t="s">
        <v>240</v>
      </c>
      <c r="D55" s="132"/>
      <c r="E55" s="191">
        <v>222000</v>
      </c>
      <c r="F55" s="192"/>
      <c r="G55" s="134"/>
      <c r="H55" s="134"/>
      <c r="I55" s="134"/>
      <c r="J55" s="193">
        <f t="shared" si="10"/>
        <v>0</v>
      </c>
      <c r="K55" s="194"/>
      <c r="L55" s="195">
        <f t="shared" si="11"/>
        <v>222000</v>
      </c>
    </row>
    <row r="56" spans="1:12" x14ac:dyDescent="0.25">
      <c r="A56" s="75"/>
      <c r="B56" s="132"/>
      <c r="C56" s="190" t="s">
        <v>241</v>
      </c>
      <c r="D56" s="132"/>
      <c r="E56" s="191">
        <v>222000</v>
      </c>
      <c r="F56" s="192"/>
      <c r="G56" s="134"/>
      <c r="H56" s="134"/>
      <c r="I56" s="134"/>
      <c r="J56" s="193">
        <f t="shared" si="10"/>
        <v>0</v>
      </c>
      <c r="K56" s="194"/>
      <c r="L56" s="195">
        <f t="shared" si="11"/>
        <v>222000</v>
      </c>
    </row>
    <row r="57" spans="1:12" x14ac:dyDescent="0.25">
      <c r="A57" s="75"/>
      <c r="B57" s="132"/>
      <c r="C57" s="190" t="s">
        <v>242</v>
      </c>
      <c r="D57" s="132"/>
      <c r="E57" s="191">
        <v>222000</v>
      </c>
      <c r="F57" s="192"/>
      <c r="G57" s="134"/>
      <c r="H57" s="134"/>
      <c r="I57" s="134"/>
      <c r="J57" s="193">
        <f t="shared" si="10"/>
        <v>0</v>
      </c>
      <c r="K57" s="194"/>
      <c r="L57" s="195">
        <f t="shared" si="11"/>
        <v>222000</v>
      </c>
    </row>
    <row r="58" spans="1:12" x14ac:dyDescent="0.25">
      <c r="A58" s="75"/>
      <c r="B58" s="132"/>
      <c r="C58" s="190" t="s">
        <v>243</v>
      </c>
      <c r="D58" s="132"/>
      <c r="E58" s="191">
        <v>222000</v>
      </c>
      <c r="F58" s="192"/>
      <c r="G58" s="134"/>
      <c r="H58" s="134"/>
      <c r="I58" s="134"/>
      <c r="J58" s="193">
        <f t="shared" si="10"/>
        <v>0</v>
      </c>
      <c r="K58" s="194"/>
      <c r="L58" s="195">
        <f t="shared" si="11"/>
        <v>222000</v>
      </c>
    </row>
    <row r="59" spans="1:12" x14ac:dyDescent="0.25">
      <c r="A59" s="75"/>
      <c r="B59" s="132"/>
      <c r="C59" s="190" t="s">
        <v>244</v>
      </c>
      <c r="D59" s="132"/>
      <c r="E59" s="191">
        <v>222000</v>
      </c>
      <c r="F59" s="192"/>
      <c r="G59" s="134"/>
      <c r="H59" s="134"/>
      <c r="I59" s="134"/>
      <c r="J59" s="193">
        <f t="shared" si="10"/>
        <v>0</v>
      </c>
      <c r="K59" s="194"/>
      <c r="L59" s="195">
        <f t="shared" si="11"/>
        <v>222000</v>
      </c>
    </row>
    <row r="60" spans="1:12" x14ac:dyDescent="0.25">
      <c r="A60" s="75"/>
      <c r="B60" s="132"/>
      <c r="C60" s="190" t="s">
        <v>245</v>
      </c>
      <c r="D60" s="132"/>
      <c r="E60" s="191">
        <v>222000</v>
      </c>
      <c r="F60" s="192"/>
      <c r="G60" s="134"/>
      <c r="H60" s="134"/>
      <c r="I60" s="134"/>
      <c r="J60" s="193">
        <f t="shared" si="10"/>
        <v>0</v>
      </c>
      <c r="K60" s="194"/>
      <c r="L60" s="195">
        <f t="shared" si="11"/>
        <v>222000</v>
      </c>
    </row>
  </sheetData>
  <conditionalFormatting sqref="A8:L20">
    <cfRule type="expression" dxfId="34" priority="13">
      <formula>$K8="Lote"</formula>
    </cfRule>
    <cfRule type="expression" dxfId="33" priority="14">
      <formula>$K8="Pagado"</formula>
    </cfRule>
    <cfRule type="expression" dxfId="32" priority="15">
      <formula>$K8="No Concretado"</formula>
    </cfRule>
  </conditionalFormatting>
  <conditionalFormatting sqref="A5:L6">
    <cfRule type="expression" dxfId="31" priority="16">
      <formula>$K5="Lote"</formula>
    </cfRule>
    <cfRule type="expression" dxfId="30" priority="17">
      <formula>$K5="Pagado"</formula>
    </cfRule>
    <cfRule type="expression" dxfId="29" priority="18">
      <formula>$K5="No Concretado"</formula>
    </cfRule>
  </conditionalFormatting>
  <conditionalFormatting sqref="A22:L33">
    <cfRule type="expression" dxfId="28" priority="11">
      <formula>$K22="Pagado"</formula>
    </cfRule>
    <cfRule type="expression" dxfId="27" priority="12">
      <formula>$K22="No Concretado"</formula>
    </cfRule>
  </conditionalFormatting>
  <conditionalFormatting sqref="A22:L33">
    <cfRule type="expression" dxfId="26" priority="10">
      <formula>$K22="Lote"</formula>
    </cfRule>
  </conditionalFormatting>
  <conditionalFormatting sqref="A35:L45">
    <cfRule type="expression" dxfId="25" priority="8">
      <formula>$K35="Pagado"</formula>
    </cfRule>
    <cfRule type="expression" dxfId="24" priority="9">
      <formula>$K35="No Concretado"</formula>
    </cfRule>
  </conditionalFormatting>
  <conditionalFormatting sqref="A35:L45">
    <cfRule type="expression" dxfId="23" priority="7">
      <formula>$K35="Lote"</formula>
    </cfRule>
  </conditionalFormatting>
  <conditionalFormatting sqref="A47:L51">
    <cfRule type="expression" dxfId="22" priority="5">
      <formula>$K47="Pagado"</formula>
    </cfRule>
    <cfRule type="expression" dxfId="21" priority="6">
      <formula>$K47="No Concretado"</formula>
    </cfRule>
  </conditionalFormatting>
  <conditionalFormatting sqref="A47:L51">
    <cfRule type="expression" dxfId="20" priority="4">
      <formula>$K47="Lote"</formula>
    </cfRule>
  </conditionalFormatting>
  <conditionalFormatting sqref="A53:L60">
    <cfRule type="expression" dxfId="1" priority="2">
      <formula>$K53="PAGADO"</formula>
    </cfRule>
    <cfRule type="expression" dxfId="2" priority="3">
      <formula>$K53="No Concretado"</formula>
    </cfRule>
  </conditionalFormatting>
  <conditionalFormatting sqref="A53:L60">
    <cfRule type="expression" dxfId="0" priority="1">
      <formula>$K53="Lote"</formula>
    </cfRule>
  </conditionalFormatting>
  <dataValidations count="2">
    <dataValidation type="list" allowBlank="1" showInputMessage="1" showErrorMessage="1" sqref="K5:K6 K8:K20 K22:K33 K35:K45 K47:K51" xr:uid="{40F93BE9-A5B5-45DC-B63B-F6B519E914CC}">
      <formula1>$N$1:$N$3</formula1>
    </dataValidation>
    <dataValidation type="list" allowBlank="1" showInputMessage="1" showErrorMessage="1" sqref="K53:K60" xr:uid="{D8A76C94-1E9F-4603-87E4-EA019EBC4DD9}">
      <formula1>ESTADO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5F0AC-7943-4AEF-A272-3AA31FCE5AE0}">
  <dimension ref="A1:L27"/>
  <sheetViews>
    <sheetView zoomScaleNormal="100" workbookViewId="0">
      <selection activeCell="O20" sqref="O20"/>
    </sheetView>
  </sheetViews>
  <sheetFormatPr baseColWidth="10" defaultRowHeight="15" x14ac:dyDescent="0.25"/>
  <cols>
    <col min="1" max="1" width="14.85546875" bestFit="1" customWidth="1"/>
    <col min="2" max="2" width="8" style="117" bestFit="1" customWidth="1"/>
    <col min="4" max="4" width="9" bestFit="1" customWidth="1"/>
    <col min="5" max="5" width="8.42578125" bestFit="1" customWidth="1"/>
    <col min="6" max="6" width="9.28515625" bestFit="1" customWidth="1"/>
    <col min="7" max="7" width="8.42578125" bestFit="1" customWidth="1"/>
    <col min="8" max="8" width="10.5703125" bestFit="1" customWidth="1"/>
    <col min="9" max="9" width="8.85546875" bestFit="1" customWidth="1"/>
    <col min="10" max="10" width="10.42578125" bestFit="1" customWidth="1"/>
    <col min="12" max="12" width="8.7109375" bestFit="1" customWidth="1"/>
  </cols>
  <sheetData>
    <row r="1" spans="1:12" ht="21.75" thickBot="1" x14ac:dyDescent="0.4">
      <c r="A1" s="176" t="s">
        <v>198</v>
      </c>
      <c r="B1" s="185"/>
      <c r="C1" s="185"/>
      <c r="D1" s="185"/>
      <c r="E1" s="185"/>
      <c r="F1" s="185"/>
      <c r="G1" s="185"/>
      <c r="H1" s="185"/>
      <c r="I1" s="185"/>
      <c r="J1" s="185"/>
      <c r="L1" s="119" t="s">
        <v>5</v>
      </c>
    </row>
    <row r="2" spans="1:12" ht="15.75" thickBot="1" x14ac:dyDescent="0.3"/>
    <row r="3" spans="1:12" ht="15.75" thickBot="1" x14ac:dyDescent="0.3">
      <c r="A3" s="63" t="s">
        <v>12</v>
      </c>
      <c r="B3" s="115" t="s">
        <v>36</v>
      </c>
      <c r="C3" s="64" t="s">
        <v>37</v>
      </c>
      <c r="D3" s="68" t="s">
        <v>0</v>
      </c>
      <c r="E3" s="42"/>
      <c r="F3" s="169"/>
      <c r="G3" s="170"/>
      <c r="H3" s="23"/>
      <c r="I3" s="23"/>
    </row>
    <row r="4" spans="1:12" ht="15.75" thickBot="1" x14ac:dyDescent="0.3">
      <c r="A4" s="24" t="s">
        <v>219</v>
      </c>
      <c r="B4" s="116">
        <v>12</v>
      </c>
      <c r="C4" s="25" t="s">
        <v>221</v>
      </c>
      <c r="D4" s="26"/>
      <c r="E4" s="43"/>
      <c r="F4" s="23"/>
      <c r="G4" s="45"/>
      <c r="H4" s="23"/>
      <c r="I4" s="23"/>
    </row>
    <row r="5" spans="1:12" ht="15.75" thickBot="1" x14ac:dyDescent="0.3">
      <c r="A5" s="63" t="s">
        <v>4</v>
      </c>
      <c r="B5" s="115" t="s">
        <v>13</v>
      </c>
      <c r="C5" s="64" t="s">
        <v>1</v>
      </c>
      <c r="D5" s="64" t="s">
        <v>14</v>
      </c>
      <c r="E5" s="65" t="s">
        <v>0</v>
      </c>
      <c r="F5" s="64" t="s">
        <v>15</v>
      </c>
      <c r="G5" s="66" t="s">
        <v>0</v>
      </c>
      <c r="H5" s="67" t="s">
        <v>9</v>
      </c>
      <c r="I5" s="68" t="s">
        <v>3</v>
      </c>
      <c r="J5" s="69" t="s">
        <v>2</v>
      </c>
    </row>
    <row r="6" spans="1:12" ht="15.75" thickBot="1" x14ac:dyDescent="0.3">
      <c r="A6" s="28" t="s">
        <v>199</v>
      </c>
      <c r="B6" s="150" t="s">
        <v>16</v>
      </c>
      <c r="C6" s="30">
        <v>200000</v>
      </c>
      <c r="D6" s="31">
        <v>200000</v>
      </c>
      <c r="E6" s="44">
        <v>43693</v>
      </c>
      <c r="F6" s="31"/>
      <c r="G6" s="44"/>
      <c r="H6" s="30">
        <f>SUM(D6,F6)</f>
        <v>200000</v>
      </c>
      <c r="I6" s="55" t="s">
        <v>5</v>
      </c>
      <c r="J6" s="34">
        <f t="shared" ref="J6:J17" si="0">C6-H6</f>
        <v>0</v>
      </c>
    </row>
    <row r="7" spans="1:12" ht="15.75" thickBot="1" x14ac:dyDescent="0.3">
      <c r="A7" s="28" t="s">
        <v>199</v>
      </c>
      <c r="B7" s="150" t="s">
        <v>17</v>
      </c>
      <c r="C7" s="30">
        <v>200000</v>
      </c>
      <c r="D7" s="31">
        <v>200000</v>
      </c>
      <c r="E7" s="44">
        <v>43693</v>
      </c>
      <c r="F7" s="31"/>
      <c r="G7" s="44"/>
      <c r="H7" s="30">
        <f t="shared" ref="H7:H17" si="1">SUM(D7,F7)</f>
        <v>200000</v>
      </c>
      <c r="I7" s="55" t="s">
        <v>5</v>
      </c>
      <c r="J7" s="34">
        <f t="shared" si="0"/>
        <v>0</v>
      </c>
    </row>
    <row r="8" spans="1:12" ht="15.75" thickBot="1" x14ac:dyDescent="0.3">
      <c r="A8" s="28" t="s">
        <v>199</v>
      </c>
      <c r="B8" s="150" t="s">
        <v>18</v>
      </c>
      <c r="C8" s="30">
        <v>200000</v>
      </c>
      <c r="D8" s="31">
        <v>100000</v>
      </c>
      <c r="E8" s="44">
        <v>43707</v>
      </c>
      <c r="F8" s="31">
        <v>100000</v>
      </c>
      <c r="G8" s="44">
        <v>43857</v>
      </c>
      <c r="H8" s="30">
        <f t="shared" si="1"/>
        <v>200000</v>
      </c>
      <c r="I8" s="55" t="s">
        <v>5</v>
      </c>
      <c r="J8" s="34">
        <f t="shared" si="0"/>
        <v>0</v>
      </c>
    </row>
    <row r="9" spans="1:12" ht="15.75" thickBot="1" x14ac:dyDescent="0.3">
      <c r="A9" s="28" t="s">
        <v>199</v>
      </c>
      <c r="B9" s="150" t="s">
        <v>19</v>
      </c>
      <c r="C9" s="30">
        <v>200000</v>
      </c>
      <c r="D9" s="31">
        <v>200000</v>
      </c>
      <c r="E9" s="44">
        <v>43857</v>
      </c>
      <c r="F9" s="31"/>
      <c r="G9" s="44"/>
      <c r="H9" s="30">
        <f t="shared" si="1"/>
        <v>200000</v>
      </c>
      <c r="I9" s="55" t="s">
        <v>5</v>
      </c>
      <c r="J9" s="34">
        <f t="shared" si="0"/>
        <v>0</v>
      </c>
    </row>
    <row r="10" spans="1:12" ht="15.75" thickBot="1" x14ac:dyDescent="0.3">
      <c r="A10" s="28" t="s">
        <v>199</v>
      </c>
      <c r="B10" s="150" t="s">
        <v>20</v>
      </c>
      <c r="C10" s="30">
        <v>200000</v>
      </c>
      <c r="D10" s="31"/>
      <c r="E10" s="44"/>
      <c r="F10" s="31"/>
      <c r="G10" s="44"/>
      <c r="H10" s="30">
        <f t="shared" si="1"/>
        <v>0</v>
      </c>
      <c r="I10" s="55"/>
      <c r="J10" s="19">
        <f t="shared" si="0"/>
        <v>200000</v>
      </c>
    </row>
    <row r="11" spans="1:12" ht="15.75" thickBot="1" x14ac:dyDescent="0.3">
      <c r="A11" s="28" t="s">
        <v>204</v>
      </c>
      <c r="B11" s="150" t="s">
        <v>21</v>
      </c>
      <c r="C11" s="30">
        <v>200000</v>
      </c>
      <c r="D11" s="31">
        <v>200000</v>
      </c>
      <c r="E11" s="44">
        <v>43683</v>
      </c>
      <c r="F11" s="31"/>
      <c r="G11" s="44"/>
      <c r="H11" s="30">
        <f t="shared" si="1"/>
        <v>200000</v>
      </c>
      <c r="I11" s="55" t="s">
        <v>5</v>
      </c>
      <c r="J11" s="34">
        <f t="shared" si="0"/>
        <v>0</v>
      </c>
    </row>
    <row r="12" spans="1:12" ht="15.75" thickBot="1" x14ac:dyDescent="0.3">
      <c r="A12" s="28" t="s">
        <v>204</v>
      </c>
      <c r="B12" s="150" t="s">
        <v>22</v>
      </c>
      <c r="C12" s="30">
        <v>200000</v>
      </c>
      <c r="D12" s="31">
        <v>200000</v>
      </c>
      <c r="E12" s="44">
        <v>43689</v>
      </c>
      <c r="F12" s="31"/>
      <c r="G12" s="44"/>
      <c r="H12" s="30">
        <f t="shared" si="1"/>
        <v>200000</v>
      </c>
      <c r="I12" s="55" t="s">
        <v>5</v>
      </c>
      <c r="J12" s="34">
        <f t="shared" si="0"/>
        <v>0</v>
      </c>
    </row>
    <row r="13" spans="1:12" ht="15.75" thickBot="1" x14ac:dyDescent="0.3">
      <c r="A13" s="28" t="s">
        <v>204</v>
      </c>
      <c r="B13" s="150" t="s">
        <v>23</v>
      </c>
      <c r="C13" s="30">
        <v>200000</v>
      </c>
      <c r="D13" s="31">
        <v>200000</v>
      </c>
      <c r="E13" s="44">
        <v>43745</v>
      </c>
      <c r="F13" s="31"/>
      <c r="G13" s="44"/>
      <c r="H13" s="30">
        <f t="shared" si="1"/>
        <v>200000</v>
      </c>
      <c r="I13" s="55" t="s">
        <v>5</v>
      </c>
      <c r="J13" s="34">
        <f t="shared" si="0"/>
        <v>0</v>
      </c>
    </row>
    <row r="14" spans="1:12" ht="15.75" thickBot="1" x14ac:dyDescent="0.3">
      <c r="A14" s="28" t="s">
        <v>204</v>
      </c>
      <c r="B14" s="150" t="s">
        <v>24</v>
      </c>
      <c r="C14" s="30">
        <v>200000</v>
      </c>
      <c r="D14" s="31">
        <v>200000</v>
      </c>
      <c r="E14" s="44">
        <v>43797</v>
      </c>
      <c r="F14" s="31"/>
      <c r="G14" s="44"/>
      <c r="H14" s="30">
        <f t="shared" si="1"/>
        <v>200000</v>
      </c>
      <c r="I14" s="55" t="s">
        <v>5</v>
      </c>
      <c r="J14" s="34">
        <f t="shared" si="0"/>
        <v>0</v>
      </c>
    </row>
    <row r="15" spans="1:12" ht="15.75" thickBot="1" x14ac:dyDescent="0.3">
      <c r="A15" s="28" t="s">
        <v>204</v>
      </c>
      <c r="B15" s="150" t="s">
        <v>25</v>
      </c>
      <c r="C15" s="30">
        <v>200000</v>
      </c>
      <c r="D15" s="31">
        <v>200000</v>
      </c>
      <c r="E15" s="44">
        <v>43857</v>
      </c>
      <c r="F15" s="31"/>
      <c r="G15" s="44"/>
      <c r="H15" s="30">
        <f t="shared" si="1"/>
        <v>200000</v>
      </c>
      <c r="I15" s="55" t="s">
        <v>5</v>
      </c>
      <c r="J15" s="34">
        <f t="shared" si="0"/>
        <v>0</v>
      </c>
    </row>
    <row r="16" spans="1:12" ht="15.75" thickBot="1" x14ac:dyDescent="0.3">
      <c r="A16" s="28" t="s">
        <v>204</v>
      </c>
      <c r="B16" s="150" t="s">
        <v>26</v>
      </c>
      <c r="C16" s="30">
        <v>200000</v>
      </c>
      <c r="D16" s="31">
        <v>100000</v>
      </c>
      <c r="E16" s="44">
        <v>43857</v>
      </c>
      <c r="F16" s="31"/>
      <c r="G16" s="44"/>
      <c r="H16" s="30">
        <f t="shared" si="1"/>
        <v>100000</v>
      </c>
      <c r="I16" s="57"/>
      <c r="J16" s="19">
        <f t="shared" si="0"/>
        <v>100000</v>
      </c>
    </row>
    <row r="17" spans="1:10" ht="15.75" thickBot="1" x14ac:dyDescent="0.3">
      <c r="A17" s="28" t="s">
        <v>204</v>
      </c>
      <c r="B17" s="150" t="s">
        <v>27</v>
      </c>
      <c r="C17" s="30">
        <v>200000</v>
      </c>
      <c r="D17" s="31"/>
      <c r="E17" s="44"/>
      <c r="F17" s="31"/>
      <c r="G17" s="44"/>
      <c r="H17" s="30">
        <f t="shared" si="1"/>
        <v>0</v>
      </c>
      <c r="I17" s="57"/>
      <c r="J17" s="19">
        <f t="shared" si="0"/>
        <v>200000</v>
      </c>
    </row>
    <row r="18" spans="1:10" ht="15.75" thickBot="1" x14ac:dyDescent="0.3">
      <c r="A18" s="169" t="s">
        <v>72</v>
      </c>
      <c r="B18" s="170"/>
      <c r="C18" s="38">
        <f>SUM(C6:C17)</f>
        <v>2400000</v>
      </c>
      <c r="D18" s="2"/>
      <c r="E18" s="48"/>
      <c r="F18" s="169" t="s">
        <v>71</v>
      </c>
      <c r="G18" s="170"/>
      <c r="H18" s="38">
        <f>SUM(H6:H17)</f>
        <v>1900000</v>
      </c>
    </row>
    <row r="19" spans="1:10" ht="15.75" thickBot="1" x14ac:dyDescent="0.3">
      <c r="A19" s="2"/>
      <c r="B19" s="118"/>
      <c r="C19" s="2"/>
      <c r="D19" s="2"/>
      <c r="E19" s="48"/>
      <c r="F19" s="179" t="s">
        <v>73</v>
      </c>
      <c r="G19" s="180"/>
      <c r="H19" s="38">
        <f>C18-H18</f>
        <v>500000</v>
      </c>
      <c r="J19" s="52"/>
    </row>
    <row r="20" spans="1:10" ht="15.75" thickBot="1" x14ac:dyDescent="0.3">
      <c r="E20" s="40"/>
      <c r="G20" s="40"/>
    </row>
    <row r="21" spans="1:10" ht="15.75" thickBot="1" x14ac:dyDescent="0.3">
      <c r="A21" s="126" t="s">
        <v>12</v>
      </c>
      <c r="B21" s="127" t="s">
        <v>36</v>
      </c>
      <c r="C21" s="128" t="s">
        <v>37</v>
      </c>
      <c r="D21" s="129" t="s">
        <v>0</v>
      </c>
      <c r="E21" s="42"/>
      <c r="F21" s="186" t="s">
        <v>203</v>
      </c>
      <c r="G21" s="187"/>
    </row>
    <row r="22" spans="1:10" ht="15.75" thickBot="1" x14ac:dyDescent="0.3">
      <c r="A22" s="24" t="s">
        <v>219</v>
      </c>
      <c r="B22" s="116">
        <v>12</v>
      </c>
      <c r="C22" s="25" t="s">
        <v>221</v>
      </c>
      <c r="D22" s="26"/>
      <c r="E22" s="43"/>
      <c r="F22" s="23"/>
    </row>
    <row r="23" spans="1:10" ht="15.75" thickBot="1" x14ac:dyDescent="0.3">
      <c r="A23" s="126" t="s">
        <v>4</v>
      </c>
      <c r="B23" s="127" t="s">
        <v>13</v>
      </c>
      <c r="C23" s="128" t="s">
        <v>1</v>
      </c>
      <c r="D23" s="128" t="s">
        <v>14</v>
      </c>
      <c r="E23" s="130" t="s">
        <v>0</v>
      </c>
      <c r="F23" s="129" t="s">
        <v>3</v>
      </c>
    </row>
    <row r="24" spans="1:10" x14ac:dyDescent="0.25">
      <c r="A24" s="28" t="s">
        <v>199</v>
      </c>
      <c r="B24" s="151" t="s">
        <v>200</v>
      </c>
      <c r="C24" s="30">
        <v>200000</v>
      </c>
      <c r="D24" s="31">
        <v>200000</v>
      </c>
      <c r="E24" s="44"/>
      <c r="F24" s="61" t="s">
        <v>5</v>
      </c>
    </row>
    <row r="25" spans="1:10" ht="15.75" thickBot="1" x14ac:dyDescent="0.3">
      <c r="A25" s="28" t="s">
        <v>202</v>
      </c>
      <c r="B25" s="150" t="s">
        <v>201</v>
      </c>
      <c r="C25" s="30">
        <v>200000</v>
      </c>
      <c r="D25" s="31">
        <v>200000</v>
      </c>
      <c r="E25" s="44"/>
      <c r="F25" s="125" t="s">
        <v>5</v>
      </c>
    </row>
    <row r="26" spans="1:10" ht="15.75" thickBot="1" x14ac:dyDescent="0.3">
      <c r="C26" s="38">
        <f>SUM(C24:C25)</f>
        <v>400000</v>
      </c>
      <c r="D26" s="40"/>
      <c r="E26" s="40"/>
      <c r="G26" s="40"/>
    </row>
    <row r="27" spans="1:10" x14ac:dyDescent="0.25">
      <c r="E27" s="40"/>
      <c r="G27" s="40"/>
    </row>
  </sheetData>
  <mergeCells count="6">
    <mergeCell ref="A1:J1"/>
    <mergeCell ref="F21:G21"/>
    <mergeCell ref="F3:G3"/>
    <mergeCell ref="A18:B18"/>
    <mergeCell ref="F18:G18"/>
    <mergeCell ref="F19:G19"/>
  </mergeCells>
  <conditionalFormatting sqref="A6:J17">
    <cfRule type="expression" dxfId="19" priority="2">
      <formula>$I6="PAGADO"</formula>
    </cfRule>
  </conditionalFormatting>
  <conditionalFormatting sqref="A24:F25">
    <cfRule type="expression" dxfId="18" priority="1">
      <formula>$F24="PAGADO"</formula>
    </cfRule>
  </conditionalFormatting>
  <dataValidations count="1">
    <dataValidation type="list" allowBlank="1" showInputMessage="1" showErrorMessage="1" sqref="I6:I17 F24:F25" xr:uid="{BD49E7FB-791D-4FB2-A0C8-C1956FC31485}">
      <formula1>PAGADO</formula1>
    </dataValidation>
  </dataValidations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L85"/>
  <sheetViews>
    <sheetView topLeftCell="A13" zoomScaleNormal="100" workbookViewId="0">
      <selection activeCell="J80" sqref="J80"/>
    </sheetView>
  </sheetViews>
  <sheetFormatPr baseColWidth="10" defaultRowHeight="15" x14ac:dyDescent="0.25"/>
  <cols>
    <col min="1" max="1" width="13.42578125" customWidth="1"/>
    <col min="2" max="2" width="7.5703125" bestFit="1" customWidth="1"/>
    <col min="3" max="3" width="12.7109375" customWidth="1"/>
    <col min="4" max="4" width="11.7109375" customWidth="1"/>
    <col min="5" max="5" width="11.7109375" style="40" customWidth="1"/>
    <col min="6" max="6" width="11.7109375" customWidth="1"/>
    <col min="7" max="7" width="11.7109375" style="40" customWidth="1"/>
    <col min="8" max="9" width="11.7109375" customWidth="1"/>
    <col min="10" max="10" width="12.7109375" customWidth="1"/>
    <col min="12" max="12" width="14.7109375" customWidth="1"/>
  </cols>
  <sheetData>
    <row r="1" spans="1:12" ht="23.1" customHeight="1" x14ac:dyDescent="0.4">
      <c r="A1" s="188" t="s">
        <v>70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</row>
    <row r="2" spans="1:12" x14ac:dyDescent="0.25">
      <c r="A2" s="2"/>
    </row>
    <row r="3" spans="1:12" ht="15.75" thickBot="1" x14ac:dyDescent="0.3"/>
    <row r="4" spans="1:12" ht="15.75" thickBot="1" x14ac:dyDescent="0.3">
      <c r="A4" s="3" t="s">
        <v>10</v>
      </c>
      <c r="B4" s="4" t="s">
        <v>11</v>
      </c>
      <c r="C4" s="5" t="s">
        <v>1</v>
      </c>
      <c r="D4" s="5" t="s">
        <v>6</v>
      </c>
      <c r="E4" s="49" t="s">
        <v>0</v>
      </c>
      <c r="F4" s="5" t="s">
        <v>7</v>
      </c>
      <c r="G4" s="49" t="s">
        <v>0</v>
      </c>
      <c r="H4" s="5" t="s">
        <v>8</v>
      </c>
      <c r="I4" s="6" t="s">
        <v>0</v>
      </c>
      <c r="J4" s="7" t="s">
        <v>9</v>
      </c>
      <c r="K4" s="8" t="s">
        <v>3</v>
      </c>
      <c r="L4" s="9" t="s">
        <v>2</v>
      </c>
    </row>
    <row r="5" spans="1:12" x14ac:dyDescent="0.25">
      <c r="A5" s="10"/>
      <c r="B5" s="11"/>
      <c r="C5" s="12"/>
      <c r="D5" s="13"/>
      <c r="E5" s="50"/>
      <c r="F5" s="13"/>
      <c r="G5" s="50"/>
      <c r="H5" s="13"/>
      <c r="I5" s="14"/>
      <c r="J5" s="12">
        <f>SUM(D5,F5,H5)</f>
        <v>0</v>
      </c>
      <c r="K5" s="12"/>
      <c r="L5" s="15">
        <f t="shared" ref="L5:L11" si="0">C5-J5</f>
        <v>0</v>
      </c>
    </row>
    <row r="6" spans="1:12" x14ac:dyDescent="0.25">
      <c r="A6" s="10"/>
      <c r="B6" s="11"/>
      <c r="C6" s="12"/>
      <c r="D6" s="13"/>
      <c r="E6" s="50"/>
      <c r="F6" s="13"/>
      <c r="G6" s="50"/>
      <c r="H6" s="13"/>
      <c r="I6" s="14"/>
      <c r="J6" s="12">
        <f t="shared" ref="J6:J11" si="1">SUM(D6,F6,H6)</f>
        <v>0</v>
      </c>
      <c r="K6" s="12"/>
      <c r="L6" s="15">
        <f t="shared" si="0"/>
        <v>0</v>
      </c>
    </row>
    <row r="7" spans="1:12" x14ac:dyDescent="0.25">
      <c r="A7" s="16"/>
      <c r="B7" s="11"/>
      <c r="C7" s="12"/>
      <c r="D7" s="13"/>
      <c r="E7" s="50"/>
      <c r="F7" s="13"/>
      <c r="G7" s="50"/>
      <c r="H7" s="13"/>
      <c r="I7" s="14"/>
      <c r="J7" s="12">
        <f t="shared" si="1"/>
        <v>0</v>
      </c>
      <c r="K7" s="12"/>
      <c r="L7" s="15">
        <f t="shared" si="0"/>
        <v>0</v>
      </c>
    </row>
    <row r="8" spans="1:12" x14ac:dyDescent="0.25">
      <c r="A8" s="16"/>
      <c r="B8" s="11"/>
      <c r="C8" s="12"/>
      <c r="D8" s="13"/>
      <c r="E8" s="50"/>
      <c r="F8" s="13"/>
      <c r="G8" s="50"/>
      <c r="H8" s="13"/>
      <c r="I8" s="14"/>
      <c r="J8" s="12">
        <f t="shared" si="1"/>
        <v>0</v>
      </c>
      <c r="K8" s="12"/>
      <c r="L8" s="15">
        <f t="shared" si="0"/>
        <v>0</v>
      </c>
    </row>
    <row r="9" spans="1:12" x14ac:dyDescent="0.25">
      <c r="A9" s="16"/>
      <c r="B9" s="11"/>
      <c r="C9" s="12"/>
      <c r="D9" s="13"/>
      <c r="E9" s="50"/>
      <c r="F9" s="13"/>
      <c r="G9" s="50"/>
      <c r="H9" s="13"/>
      <c r="I9" s="14"/>
      <c r="J9" s="12">
        <f t="shared" si="1"/>
        <v>0</v>
      </c>
      <c r="K9" s="12"/>
      <c r="L9" s="15">
        <f t="shared" si="0"/>
        <v>0</v>
      </c>
    </row>
    <row r="10" spans="1:12" x14ac:dyDescent="0.25">
      <c r="A10" s="16"/>
      <c r="B10" s="11"/>
      <c r="C10" s="12"/>
      <c r="D10" s="13"/>
      <c r="E10" s="50"/>
      <c r="F10" s="13"/>
      <c r="G10" s="50"/>
      <c r="H10" s="13"/>
      <c r="I10" s="14"/>
      <c r="J10" s="12">
        <f t="shared" si="1"/>
        <v>0</v>
      </c>
      <c r="K10" s="12"/>
      <c r="L10" s="15">
        <f t="shared" si="0"/>
        <v>0</v>
      </c>
    </row>
    <row r="11" spans="1:12" ht="15.75" thickBot="1" x14ac:dyDescent="0.3">
      <c r="A11" s="16"/>
      <c r="B11" s="11"/>
      <c r="C11" s="12"/>
      <c r="D11" s="13"/>
      <c r="E11" s="50"/>
      <c r="F11" s="13"/>
      <c r="G11" s="50"/>
      <c r="H11" s="13"/>
      <c r="I11" s="14"/>
      <c r="J11" s="12">
        <f t="shared" si="1"/>
        <v>0</v>
      </c>
      <c r="K11" s="12"/>
      <c r="L11" s="17">
        <f t="shared" si="0"/>
        <v>0</v>
      </c>
    </row>
    <row r="12" spans="1:12" ht="15.75" thickBot="1" x14ac:dyDescent="0.3">
      <c r="I12" s="18"/>
    </row>
    <row r="13" spans="1:12" ht="15.75" customHeight="1" thickBot="1" x14ac:dyDescent="0.3">
      <c r="A13" s="63" t="s">
        <v>12</v>
      </c>
      <c r="B13" s="64" t="s">
        <v>36</v>
      </c>
      <c r="C13" s="64" t="s">
        <v>37</v>
      </c>
      <c r="D13" s="68" t="s">
        <v>0</v>
      </c>
      <c r="E13" s="42"/>
      <c r="F13" s="169"/>
      <c r="G13" s="170"/>
      <c r="H13" s="23"/>
      <c r="I13" s="23"/>
    </row>
    <row r="14" spans="1:12" ht="15.75" thickBot="1" x14ac:dyDescent="0.3">
      <c r="A14" s="24"/>
      <c r="B14" s="25"/>
      <c r="C14" s="25"/>
      <c r="D14" s="26"/>
      <c r="E14" s="43"/>
      <c r="F14" s="23"/>
      <c r="G14" s="45"/>
      <c r="H14" s="23"/>
      <c r="I14" s="23"/>
    </row>
    <row r="15" spans="1:12" ht="18" customHeight="1" thickBot="1" x14ac:dyDescent="0.3">
      <c r="A15" s="63" t="s">
        <v>4</v>
      </c>
      <c r="B15" s="64" t="s">
        <v>13</v>
      </c>
      <c r="C15" s="64" t="s">
        <v>1</v>
      </c>
      <c r="D15" s="64" t="s">
        <v>14</v>
      </c>
      <c r="E15" s="65" t="s">
        <v>0</v>
      </c>
      <c r="F15" s="64" t="s">
        <v>15</v>
      </c>
      <c r="G15" s="66" t="s">
        <v>0</v>
      </c>
      <c r="H15" s="67" t="s">
        <v>9</v>
      </c>
      <c r="I15" s="68" t="s">
        <v>3</v>
      </c>
      <c r="J15" s="69" t="s">
        <v>2</v>
      </c>
    </row>
    <row r="16" spans="1:12" ht="15.75" thickBot="1" x14ac:dyDescent="0.3">
      <c r="A16" s="28"/>
      <c r="B16" s="29" t="s">
        <v>16</v>
      </c>
      <c r="C16" s="30">
        <v>150000</v>
      </c>
      <c r="D16" s="31"/>
      <c r="E16" s="44"/>
      <c r="F16" s="31"/>
      <c r="G16" s="44"/>
      <c r="H16" s="30">
        <f>SUM(D16,F16)</f>
        <v>0</v>
      </c>
      <c r="I16" s="35"/>
      <c r="J16" s="19">
        <f t="shared" ref="J16:J67" si="2">C16-H16</f>
        <v>150000</v>
      </c>
    </row>
    <row r="17" spans="1:10" ht="15.75" thickBot="1" x14ac:dyDescent="0.3">
      <c r="A17" s="28"/>
      <c r="B17" s="29" t="s">
        <v>17</v>
      </c>
      <c r="C17" s="30">
        <v>150000</v>
      </c>
      <c r="D17" s="31"/>
      <c r="E17" s="44"/>
      <c r="F17" s="31"/>
      <c r="G17" s="44"/>
      <c r="H17" s="30">
        <f t="shared" ref="H17:H67" si="3">SUM(D17,F17)</f>
        <v>0</v>
      </c>
      <c r="I17" s="36"/>
      <c r="J17" s="19">
        <f t="shared" si="2"/>
        <v>150000</v>
      </c>
    </row>
    <row r="18" spans="1:10" ht="15.75" thickBot="1" x14ac:dyDescent="0.3">
      <c r="A18" s="28"/>
      <c r="B18" s="29" t="s">
        <v>18</v>
      </c>
      <c r="C18" s="30">
        <v>150000</v>
      </c>
      <c r="D18" s="31"/>
      <c r="E18" s="44"/>
      <c r="F18" s="31"/>
      <c r="G18" s="44"/>
      <c r="H18" s="30">
        <f t="shared" si="3"/>
        <v>0</v>
      </c>
      <c r="I18" s="36"/>
      <c r="J18" s="19">
        <f t="shared" si="2"/>
        <v>150000</v>
      </c>
    </row>
    <row r="19" spans="1:10" ht="15.75" thickBot="1" x14ac:dyDescent="0.3">
      <c r="A19" s="28"/>
      <c r="B19" s="29" t="s">
        <v>19</v>
      </c>
      <c r="C19" s="30">
        <v>150000</v>
      </c>
      <c r="D19" s="31"/>
      <c r="E19" s="44"/>
      <c r="F19" s="31"/>
      <c r="G19" s="44"/>
      <c r="H19" s="30">
        <f t="shared" si="3"/>
        <v>0</v>
      </c>
      <c r="I19" s="36"/>
      <c r="J19" s="19">
        <f t="shared" si="2"/>
        <v>150000</v>
      </c>
    </row>
    <row r="20" spans="1:10" ht="15.75" thickBot="1" x14ac:dyDescent="0.3">
      <c r="A20" s="28"/>
      <c r="B20" s="29" t="s">
        <v>20</v>
      </c>
      <c r="C20" s="30">
        <v>150000</v>
      </c>
      <c r="D20" s="31"/>
      <c r="E20" s="44"/>
      <c r="F20" s="31"/>
      <c r="G20" s="44"/>
      <c r="H20" s="30">
        <f t="shared" si="3"/>
        <v>0</v>
      </c>
      <c r="I20" s="36"/>
      <c r="J20" s="19">
        <f t="shared" si="2"/>
        <v>150000</v>
      </c>
    </row>
    <row r="21" spans="1:10" ht="15.75" thickBot="1" x14ac:dyDescent="0.3">
      <c r="A21" s="28"/>
      <c r="B21" s="29" t="s">
        <v>21</v>
      </c>
      <c r="C21" s="30">
        <v>150000</v>
      </c>
      <c r="D21" s="31"/>
      <c r="E21" s="44"/>
      <c r="F21" s="31"/>
      <c r="G21" s="44"/>
      <c r="H21" s="30">
        <f t="shared" si="3"/>
        <v>0</v>
      </c>
      <c r="I21" s="36"/>
      <c r="J21" s="19">
        <f t="shared" si="2"/>
        <v>150000</v>
      </c>
    </row>
    <row r="22" spans="1:10" ht="15.75" thickBot="1" x14ac:dyDescent="0.3">
      <c r="A22" s="28"/>
      <c r="B22" s="29" t="s">
        <v>22</v>
      </c>
      <c r="C22" s="30">
        <v>150000</v>
      </c>
      <c r="D22" s="31"/>
      <c r="E22" s="44"/>
      <c r="F22" s="31"/>
      <c r="G22" s="44"/>
      <c r="H22" s="30">
        <f t="shared" si="3"/>
        <v>0</v>
      </c>
      <c r="I22" s="36"/>
      <c r="J22" s="19">
        <f t="shared" si="2"/>
        <v>150000</v>
      </c>
    </row>
    <row r="23" spans="1:10" ht="15.75" thickBot="1" x14ac:dyDescent="0.3">
      <c r="A23" s="28"/>
      <c r="B23" s="29" t="s">
        <v>23</v>
      </c>
      <c r="C23" s="30">
        <v>150000</v>
      </c>
      <c r="D23" s="31"/>
      <c r="E23" s="44"/>
      <c r="F23" s="31"/>
      <c r="G23" s="44"/>
      <c r="H23" s="30">
        <f t="shared" si="3"/>
        <v>0</v>
      </c>
      <c r="I23" s="36"/>
      <c r="J23" s="19">
        <f t="shared" si="2"/>
        <v>150000</v>
      </c>
    </row>
    <row r="24" spans="1:10" ht="15.75" thickBot="1" x14ac:dyDescent="0.3">
      <c r="A24" s="28"/>
      <c r="B24" s="29" t="s">
        <v>24</v>
      </c>
      <c r="C24" s="30">
        <v>150000</v>
      </c>
      <c r="D24" s="31"/>
      <c r="E24" s="44"/>
      <c r="F24" s="31"/>
      <c r="G24" s="44"/>
      <c r="H24" s="30">
        <f t="shared" si="3"/>
        <v>0</v>
      </c>
      <c r="I24" s="36"/>
      <c r="J24" s="19">
        <f t="shared" si="2"/>
        <v>150000</v>
      </c>
    </row>
    <row r="25" spans="1:10" ht="15.75" thickBot="1" x14ac:dyDescent="0.3">
      <c r="A25" s="28"/>
      <c r="B25" s="29" t="s">
        <v>25</v>
      </c>
      <c r="C25" s="30">
        <v>150000</v>
      </c>
      <c r="D25" s="31"/>
      <c r="E25" s="44"/>
      <c r="F25" s="31"/>
      <c r="G25" s="44"/>
      <c r="H25" s="30">
        <f t="shared" si="3"/>
        <v>0</v>
      </c>
      <c r="I25" s="36"/>
      <c r="J25" s="19">
        <f t="shared" si="2"/>
        <v>150000</v>
      </c>
    </row>
    <row r="26" spans="1:10" ht="15.75" thickBot="1" x14ac:dyDescent="0.3">
      <c r="A26" s="28"/>
      <c r="B26" s="29" t="s">
        <v>26</v>
      </c>
      <c r="C26" s="30">
        <v>150000</v>
      </c>
      <c r="D26" s="31"/>
      <c r="E26" s="44"/>
      <c r="F26" s="31"/>
      <c r="G26" s="44"/>
      <c r="H26" s="30">
        <f t="shared" si="3"/>
        <v>0</v>
      </c>
      <c r="I26" s="36"/>
      <c r="J26" s="19">
        <f t="shared" si="2"/>
        <v>150000</v>
      </c>
    </row>
    <row r="27" spans="1:10" ht="15.75" thickBot="1" x14ac:dyDescent="0.3">
      <c r="A27" s="28"/>
      <c r="B27" s="29" t="s">
        <v>27</v>
      </c>
      <c r="C27" s="30">
        <v>150000</v>
      </c>
      <c r="D27" s="31"/>
      <c r="E27" s="44"/>
      <c r="F27" s="31"/>
      <c r="G27" s="44"/>
      <c r="H27" s="30">
        <f t="shared" si="3"/>
        <v>0</v>
      </c>
      <c r="I27" s="36"/>
      <c r="J27" s="19">
        <f t="shared" si="2"/>
        <v>150000</v>
      </c>
    </row>
    <row r="28" spans="1:10" ht="15.75" thickBot="1" x14ac:dyDescent="0.3">
      <c r="A28" s="28"/>
      <c r="B28" s="29" t="s">
        <v>28</v>
      </c>
      <c r="C28" s="30">
        <v>150000</v>
      </c>
      <c r="D28" s="31"/>
      <c r="E28" s="44"/>
      <c r="F28" s="31"/>
      <c r="G28" s="44"/>
      <c r="H28" s="30">
        <f t="shared" si="3"/>
        <v>0</v>
      </c>
      <c r="I28" s="36"/>
      <c r="J28" s="19">
        <f t="shared" si="2"/>
        <v>150000</v>
      </c>
    </row>
    <row r="29" spans="1:10" ht="15.75" thickBot="1" x14ac:dyDescent="0.3">
      <c r="A29" s="28"/>
      <c r="B29" s="29" t="s">
        <v>29</v>
      </c>
      <c r="C29" s="30">
        <v>150000</v>
      </c>
      <c r="D29" s="31"/>
      <c r="E29" s="44"/>
      <c r="F29" s="31"/>
      <c r="G29" s="44"/>
      <c r="H29" s="30">
        <f t="shared" si="3"/>
        <v>0</v>
      </c>
      <c r="I29" s="36"/>
      <c r="J29" s="19">
        <f t="shared" si="2"/>
        <v>150000</v>
      </c>
    </row>
    <row r="30" spans="1:10" ht="15.75" thickBot="1" x14ac:dyDescent="0.3">
      <c r="A30" s="28"/>
      <c r="B30" s="29" t="s">
        <v>30</v>
      </c>
      <c r="C30" s="30">
        <v>150000</v>
      </c>
      <c r="D30" s="31"/>
      <c r="E30" s="44"/>
      <c r="F30" s="31"/>
      <c r="G30" s="44"/>
      <c r="H30" s="30">
        <f t="shared" si="3"/>
        <v>0</v>
      </c>
      <c r="I30" s="36"/>
      <c r="J30" s="19">
        <f t="shared" si="2"/>
        <v>150000</v>
      </c>
    </row>
    <row r="31" spans="1:10" ht="15.75" thickBot="1" x14ac:dyDescent="0.3">
      <c r="A31" s="28"/>
      <c r="B31" s="29" t="s">
        <v>31</v>
      </c>
      <c r="C31" s="30">
        <v>150000</v>
      </c>
      <c r="D31" s="31"/>
      <c r="E31" s="44"/>
      <c r="F31" s="31"/>
      <c r="G31" s="44"/>
      <c r="H31" s="30">
        <f t="shared" si="3"/>
        <v>0</v>
      </c>
      <c r="I31" s="36"/>
      <c r="J31" s="19">
        <f t="shared" si="2"/>
        <v>150000</v>
      </c>
    </row>
    <row r="32" spans="1:10" ht="15.75" thickBot="1" x14ac:dyDescent="0.3">
      <c r="A32" s="28"/>
      <c r="B32" s="29" t="s">
        <v>32</v>
      </c>
      <c r="C32" s="30">
        <v>150000</v>
      </c>
      <c r="D32" s="31"/>
      <c r="E32" s="44"/>
      <c r="F32" s="31"/>
      <c r="G32" s="44"/>
      <c r="H32" s="30">
        <f t="shared" si="3"/>
        <v>0</v>
      </c>
      <c r="I32" s="36"/>
      <c r="J32" s="19">
        <f t="shared" si="2"/>
        <v>150000</v>
      </c>
    </row>
    <row r="33" spans="1:10" ht="15.75" thickBot="1" x14ac:dyDescent="0.3">
      <c r="A33" s="28"/>
      <c r="B33" s="29" t="s">
        <v>33</v>
      </c>
      <c r="C33" s="30">
        <v>150000</v>
      </c>
      <c r="D33" s="31"/>
      <c r="E33" s="44"/>
      <c r="F33" s="31"/>
      <c r="G33" s="44"/>
      <c r="H33" s="30">
        <f t="shared" si="3"/>
        <v>0</v>
      </c>
      <c r="I33" s="36"/>
      <c r="J33" s="19">
        <f t="shared" si="2"/>
        <v>150000</v>
      </c>
    </row>
    <row r="34" spans="1:10" ht="15.75" thickBot="1" x14ac:dyDescent="0.3">
      <c r="A34" s="28"/>
      <c r="B34" s="29" t="s">
        <v>34</v>
      </c>
      <c r="C34" s="30">
        <v>150000</v>
      </c>
      <c r="D34" s="31"/>
      <c r="E34" s="44"/>
      <c r="F34" s="31"/>
      <c r="G34" s="44"/>
      <c r="H34" s="30">
        <f t="shared" si="3"/>
        <v>0</v>
      </c>
      <c r="I34" s="36"/>
      <c r="J34" s="19">
        <f t="shared" si="2"/>
        <v>150000</v>
      </c>
    </row>
    <row r="35" spans="1:10" ht="15.75" thickBot="1" x14ac:dyDescent="0.3">
      <c r="A35" s="28"/>
      <c r="B35" s="29" t="s">
        <v>35</v>
      </c>
      <c r="C35" s="30">
        <v>150000</v>
      </c>
      <c r="D35" s="31"/>
      <c r="E35" s="44"/>
      <c r="F35" s="31"/>
      <c r="G35" s="44"/>
      <c r="H35" s="30">
        <f t="shared" si="3"/>
        <v>0</v>
      </c>
      <c r="I35" s="36"/>
      <c r="J35" s="19">
        <f t="shared" si="2"/>
        <v>150000</v>
      </c>
    </row>
    <row r="36" spans="1:10" ht="15.75" thickBot="1" x14ac:dyDescent="0.3">
      <c r="A36" s="28"/>
      <c r="B36" s="29" t="s">
        <v>38</v>
      </c>
      <c r="C36" s="30">
        <v>150000</v>
      </c>
      <c r="D36" s="31"/>
      <c r="E36" s="44"/>
      <c r="F36" s="31"/>
      <c r="G36" s="44"/>
      <c r="H36" s="30">
        <f t="shared" si="3"/>
        <v>0</v>
      </c>
      <c r="I36" s="36"/>
      <c r="J36" s="19">
        <f t="shared" si="2"/>
        <v>150000</v>
      </c>
    </row>
    <row r="37" spans="1:10" ht="15.75" thickBot="1" x14ac:dyDescent="0.3">
      <c r="A37" s="28"/>
      <c r="B37" s="29" t="s">
        <v>39</v>
      </c>
      <c r="C37" s="30">
        <v>150000</v>
      </c>
      <c r="D37" s="31"/>
      <c r="E37" s="44"/>
      <c r="F37" s="31"/>
      <c r="G37" s="44"/>
      <c r="H37" s="30">
        <f t="shared" si="3"/>
        <v>0</v>
      </c>
      <c r="I37" s="36"/>
      <c r="J37" s="19">
        <f t="shared" si="2"/>
        <v>150000</v>
      </c>
    </row>
    <row r="38" spans="1:10" ht="15.75" thickBot="1" x14ac:dyDescent="0.3">
      <c r="A38" s="28"/>
      <c r="B38" s="29" t="s">
        <v>40</v>
      </c>
      <c r="C38" s="30">
        <v>150000</v>
      </c>
      <c r="D38" s="31"/>
      <c r="E38" s="44"/>
      <c r="F38" s="31"/>
      <c r="G38" s="44"/>
      <c r="H38" s="30">
        <f t="shared" si="3"/>
        <v>0</v>
      </c>
      <c r="I38" s="36"/>
      <c r="J38" s="19">
        <f t="shared" si="2"/>
        <v>150000</v>
      </c>
    </row>
    <row r="39" spans="1:10" ht="15.75" thickBot="1" x14ac:dyDescent="0.3">
      <c r="A39" s="28"/>
      <c r="B39" s="29" t="s">
        <v>41</v>
      </c>
      <c r="C39" s="30">
        <v>150000</v>
      </c>
      <c r="D39" s="31"/>
      <c r="E39" s="44"/>
      <c r="F39" s="31"/>
      <c r="G39" s="44"/>
      <c r="H39" s="30">
        <f t="shared" si="3"/>
        <v>0</v>
      </c>
      <c r="I39" s="36"/>
      <c r="J39" s="19">
        <f t="shared" si="2"/>
        <v>150000</v>
      </c>
    </row>
    <row r="40" spans="1:10" ht="15.75" thickBot="1" x14ac:dyDescent="0.3">
      <c r="A40" s="28"/>
      <c r="B40" s="29" t="s">
        <v>42</v>
      </c>
      <c r="C40" s="30">
        <v>150000</v>
      </c>
      <c r="D40" s="31"/>
      <c r="E40" s="44"/>
      <c r="F40" s="31"/>
      <c r="G40" s="44"/>
      <c r="H40" s="30">
        <f t="shared" si="3"/>
        <v>0</v>
      </c>
      <c r="I40" s="36"/>
      <c r="J40" s="19">
        <f t="shared" si="2"/>
        <v>150000</v>
      </c>
    </row>
    <row r="41" spans="1:10" ht="15.75" thickBot="1" x14ac:dyDescent="0.3">
      <c r="A41" s="28"/>
      <c r="B41" s="29" t="s">
        <v>43</v>
      </c>
      <c r="C41" s="30">
        <v>150000</v>
      </c>
      <c r="D41" s="31"/>
      <c r="E41" s="44"/>
      <c r="F41" s="31"/>
      <c r="G41" s="44"/>
      <c r="H41" s="30">
        <f t="shared" si="3"/>
        <v>0</v>
      </c>
      <c r="I41" s="36"/>
      <c r="J41" s="19">
        <f t="shared" si="2"/>
        <v>150000</v>
      </c>
    </row>
    <row r="42" spans="1:10" ht="15.75" thickBot="1" x14ac:dyDescent="0.3">
      <c r="A42" s="28"/>
      <c r="B42" s="29" t="s">
        <v>44</v>
      </c>
      <c r="C42" s="30">
        <v>150000</v>
      </c>
      <c r="D42" s="31"/>
      <c r="E42" s="44"/>
      <c r="F42" s="31"/>
      <c r="G42" s="44"/>
      <c r="H42" s="30">
        <f t="shared" si="3"/>
        <v>0</v>
      </c>
      <c r="I42" s="36"/>
      <c r="J42" s="19">
        <f t="shared" si="2"/>
        <v>150000</v>
      </c>
    </row>
    <row r="43" spans="1:10" ht="15.75" thickBot="1" x14ac:dyDescent="0.3">
      <c r="A43" s="28"/>
      <c r="B43" s="29" t="s">
        <v>45</v>
      </c>
      <c r="C43" s="30">
        <v>150000</v>
      </c>
      <c r="D43" s="31"/>
      <c r="E43" s="44"/>
      <c r="F43" s="31"/>
      <c r="G43" s="44"/>
      <c r="H43" s="30">
        <f t="shared" si="3"/>
        <v>0</v>
      </c>
      <c r="I43" s="36"/>
      <c r="J43" s="19">
        <f t="shared" si="2"/>
        <v>150000</v>
      </c>
    </row>
    <row r="44" spans="1:10" ht="15.75" thickBot="1" x14ac:dyDescent="0.3">
      <c r="A44" s="28"/>
      <c r="B44" s="29" t="s">
        <v>46</v>
      </c>
      <c r="C44" s="30">
        <v>150000</v>
      </c>
      <c r="D44" s="31"/>
      <c r="E44" s="44"/>
      <c r="F44" s="31"/>
      <c r="G44" s="44"/>
      <c r="H44" s="30">
        <f t="shared" si="3"/>
        <v>0</v>
      </c>
      <c r="I44" s="36"/>
      <c r="J44" s="19">
        <f t="shared" si="2"/>
        <v>150000</v>
      </c>
    </row>
    <row r="45" spans="1:10" ht="15.75" thickBot="1" x14ac:dyDescent="0.3">
      <c r="A45" s="28"/>
      <c r="B45" s="29" t="s">
        <v>47</v>
      </c>
      <c r="C45" s="30">
        <v>150000</v>
      </c>
      <c r="D45" s="31"/>
      <c r="E45" s="44"/>
      <c r="F45" s="31"/>
      <c r="G45" s="44"/>
      <c r="H45" s="30">
        <f t="shared" si="3"/>
        <v>0</v>
      </c>
      <c r="I45" s="36"/>
      <c r="J45" s="19">
        <f t="shared" si="2"/>
        <v>150000</v>
      </c>
    </row>
    <row r="46" spans="1:10" ht="15.75" thickBot="1" x14ac:dyDescent="0.3">
      <c r="A46" s="28"/>
      <c r="B46" s="29" t="s">
        <v>48</v>
      </c>
      <c r="C46" s="30">
        <v>150000</v>
      </c>
      <c r="D46" s="31"/>
      <c r="E46" s="44"/>
      <c r="F46" s="31"/>
      <c r="G46" s="44"/>
      <c r="H46" s="30">
        <f t="shared" si="3"/>
        <v>0</v>
      </c>
      <c r="I46" s="36"/>
      <c r="J46" s="19">
        <f t="shared" si="2"/>
        <v>150000</v>
      </c>
    </row>
    <row r="47" spans="1:10" ht="15.75" thickBot="1" x14ac:dyDescent="0.3">
      <c r="A47" s="28"/>
      <c r="B47" s="29" t="s">
        <v>49</v>
      </c>
      <c r="C47" s="30">
        <v>150000</v>
      </c>
      <c r="D47" s="31"/>
      <c r="E47" s="44"/>
      <c r="F47" s="31"/>
      <c r="G47" s="44"/>
      <c r="H47" s="30">
        <f t="shared" si="3"/>
        <v>0</v>
      </c>
      <c r="I47" s="36"/>
      <c r="J47" s="19">
        <f t="shared" si="2"/>
        <v>150000</v>
      </c>
    </row>
    <row r="48" spans="1:10" ht="15.75" thickBot="1" x14ac:dyDescent="0.3">
      <c r="A48" s="28"/>
      <c r="B48" s="29" t="s">
        <v>50</v>
      </c>
      <c r="C48" s="30">
        <v>150000</v>
      </c>
      <c r="D48" s="31"/>
      <c r="E48" s="44"/>
      <c r="F48" s="31"/>
      <c r="G48" s="44"/>
      <c r="H48" s="30">
        <f t="shared" si="3"/>
        <v>0</v>
      </c>
      <c r="I48" s="36"/>
      <c r="J48" s="19">
        <f t="shared" si="2"/>
        <v>150000</v>
      </c>
    </row>
    <row r="49" spans="1:10" ht="15.75" thickBot="1" x14ac:dyDescent="0.3">
      <c r="A49" s="28"/>
      <c r="B49" s="29" t="s">
        <v>51</v>
      </c>
      <c r="C49" s="30">
        <v>150000</v>
      </c>
      <c r="D49" s="31"/>
      <c r="E49" s="44"/>
      <c r="F49" s="31"/>
      <c r="G49" s="44"/>
      <c r="H49" s="30">
        <f t="shared" si="3"/>
        <v>0</v>
      </c>
      <c r="I49" s="36"/>
      <c r="J49" s="19">
        <f t="shared" si="2"/>
        <v>150000</v>
      </c>
    </row>
    <row r="50" spans="1:10" ht="15.75" thickBot="1" x14ac:dyDescent="0.3">
      <c r="A50" s="28"/>
      <c r="B50" s="29" t="s">
        <v>52</v>
      </c>
      <c r="C50" s="30">
        <v>150000</v>
      </c>
      <c r="D50" s="31"/>
      <c r="E50" s="44"/>
      <c r="F50" s="31"/>
      <c r="G50" s="44"/>
      <c r="H50" s="30">
        <f t="shared" si="3"/>
        <v>0</v>
      </c>
      <c r="I50" s="36"/>
      <c r="J50" s="19">
        <f t="shared" si="2"/>
        <v>150000</v>
      </c>
    </row>
    <row r="51" spans="1:10" ht="15.75" thickBot="1" x14ac:dyDescent="0.3">
      <c r="A51" s="28"/>
      <c r="B51" s="29" t="s">
        <v>53</v>
      </c>
      <c r="C51" s="30">
        <v>150000</v>
      </c>
      <c r="D51" s="31"/>
      <c r="E51" s="44"/>
      <c r="F51" s="31"/>
      <c r="G51" s="44"/>
      <c r="H51" s="30">
        <f t="shared" si="3"/>
        <v>0</v>
      </c>
      <c r="I51" s="36"/>
      <c r="J51" s="19">
        <f t="shared" si="2"/>
        <v>150000</v>
      </c>
    </row>
    <row r="52" spans="1:10" ht="15.75" thickBot="1" x14ac:dyDescent="0.3">
      <c r="A52" s="28"/>
      <c r="B52" s="29" t="s">
        <v>54</v>
      </c>
      <c r="C52" s="30">
        <v>150000</v>
      </c>
      <c r="D52" s="31"/>
      <c r="E52" s="44"/>
      <c r="F52" s="31"/>
      <c r="G52" s="44"/>
      <c r="H52" s="30">
        <f t="shared" si="3"/>
        <v>0</v>
      </c>
      <c r="I52" s="36"/>
      <c r="J52" s="19">
        <f t="shared" si="2"/>
        <v>150000</v>
      </c>
    </row>
    <row r="53" spans="1:10" ht="15.75" thickBot="1" x14ac:dyDescent="0.3">
      <c r="A53" s="28"/>
      <c r="B53" s="29" t="s">
        <v>55</v>
      </c>
      <c r="C53" s="30">
        <v>150000</v>
      </c>
      <c r="D53" s="31"/>
      <c r="E53" s="44"/>
      <c r="F53" s="31"/>
      <c r="G53" s="44"/>
      <c r="H53" s="30">
        <f t="shared" si="3"/>
        <v>0</v>
      </c>
      <c r="I53" s="36"/>
      <c r="J53" s="19">
        <f t="shared" si="2"/>
        <v>150000</v>
      </c>
    </row>
    <row r="54" spans="1:10" ht="15.75" thickBot="1" x14ac:dyDescent="0.3">
      <c r="A54" s="28"/>
      <c r="B54" s="29" t="s">
        <v>56</v>
      </c>
      <c r="C54" s="30">
        <v>150000</v>
      </c>
      <c r="D54" s="31"/>
      <c r="E54" s="44"/>
      <c r="F54" s="31"/>
      <c r="G54" s="44"/>
      <c r="H54" s="30">
        <f t="shared" si="3"/>
        <v>0</v>
      </c>
      <c r="I54" s="36"/>
      <c r="J54" s="19">
        <f t="shared" si="2"/>
        <v>150000</v>
      </c>
    </row>
    <row r="55" spans="1:10" ht="15.75" thickBot="1" x14ac:dyDescent="0.3">
      <c r="A55" s="28"/>
      <c r="B55" s="29" t="s">
        <v>57</v>
      </c>
      <c r="C55" s="30">
        <v>150000</v>
      </c>
      <c r="D55" s="31"/>
      <c r="E55" s="44"/>
      <c r="F55" s="31"/>
      <c r="G55" s="44"/>
      <c r="H55" s="30">
        <f t="shared" si="3"/>
        <v>0</v>
      </c>
      <c r="I55" s="36"/>
      <c r="J55" s="19">
        <f t="shared" si="2"/>
        <v>150000</v>
      </c>
    </row>
    <row r="56" spans="1:10" ht="15.75" thickBot="1" x14ac:dyDescent="0.3">
      <c r="A56" s="28"/>
      <c r="B56" s="29" t="s">
        <v>58</v>
      </c>
      <c r="C56" s="30">
        <v>150000</v>
      </c>
      <c r="D56" s="31"/>
      <c r="E56" s="44"/>
      <c r="F56" s="31"/>
      <c r="G56" s="44"/>
      <c r="H56" s="30">
        <f t="shared" si="3"/>
        <v>0</v>
      </c>
      <c r="I56" s="36"/>
      <c r="J56" s="19">
        <f t="shared" si="2"/>
        <v>150000</v>
      </c>
    </row>
    <row r="57" spans="1:10" ht="15.75" thickBot="1" x14ac:dyDescent="0.3">
      <c r="A57" s="28"/>
      <c r="B57" s="29" t="s">
        <v>59</v>
      </c>
      <c r="C57" s="30">
        <v>150000</v>
      </c>
      <c r="D57" s="31"/>
      <c r="E57" s="44"/>
      <c r="F57" s="31"/>
      <c r="G57" s="44"/>
      <c r="H57" s="30">
        <f t="shared" si="3"/>
        <v>0</v>
      </c>
      <c r="I57" s="36"/>
      <c r="J57" s="19">
        <f t="shared" si="2"/>
        <v>150000</v>
      </c>
    </row>
    <row r="58" spans="1:10" ht="15.75" thickBot="1" x14ac:dyDescent="0.3">
      <c r="A58" s="28"/>
      <c r="B58" s="29" t="s">
        <v>60</v>
      </c>
      <c r="C58" s="30">
        <v>150000</v>
      </c>
      <c r="D58" s="31"/>
      <c r="E58" s="44"/>
      <c r="F58" s="31"/>
      <c r="G58" s="44"/>
      <c r="H58" s="30">
        <f t="shared" si="3"/>
        <v>0</v>
      </c>
      <c r="I58" s="36"/>
      <c r="J58" s="19">
        <f t="shared" si="2"/>
        <v>150000</v>
      </c>
    </row>
    <row r="59" spans="1:10" ht="15.75" thickBot="1" x14ac:dyDescent="0.3">
      <c r="A59" s="28"/>
      <c r="B59" s="29" t="s">
        <v>61</v>
      </c>
      <c r="C59" s="30">
        <v>150000</v>
      </c>
      <c r="D59" s="31"/>
      <c r="E59" s="44"/>
      <c r="F59" s="31"/>
      <c r="G59" s="44"/>
      <c r="H59" s="30">
        <f t="shared" si="3"/>
        <v>0</v>
      </c>
      <c r="I59" s="36"/>
      <c r="J59" s="19">
        <f t="shared" si="2"/>
        <v>150000</v>
      </c>
    </row>
    <row r="60" spans="1:10" ht="15.75" thickBot="1" x14ac:dyDescent="0.3">
      <c r="A60" s="28"/>
      <c r="B60" s="29" t="s">
        <v>62</v>
      </c>
      <c r="C60" s="30">
        <v>150000</v>
      </c>
      <c r="D60" s="31"/>
      <c r="E60" s="44"/>
      <c r="F60" s="31"/>
      <c r="G60" s="44"/>
      <c r="H60" s="30">
        <f t="shared" si="3"/>
        <v>0</v>
      </c>
      <c r="I60" s="36"/>
      <c r="J60" s="19">
        <f t="shared" si="2"/>
        <v>150000</v>
      </c>
    </row>
    <row r="61" spans="1:10" ht="15.75" thickBot="1" x14ac:dyDescent="0.3">
      <c r="A61" s="28"/>
      <c r="B61" s="29" t="s">
        <v>63</v>
      </c>
      <c r="C61" s="30">
        <v>150000</v>
      </c>
      <c r="D61" s="31"/>
      <c r="E61" s="44"/>
      <c r="F61" s="31"/>
      <c r="G61" s="44"/>
      <c r="H61" s="30">
        <f t="shared" si="3"/>
        <v>0</v>
      </c>
      <c r="I61" s="36"/>
      <c r="J61" s="19">
        <f t="shared" si="2"/>
        <v>150000</v>
      </c>
    </row>
    <row r="62" spans="1:10" ht="15.75" thickBot="1" x14ac:dyDescent="0.3">
      <c r="A62" s="28"/>
      <c r="B62" s="29" t="s">
        <v>64</v>
      </c>
      <c r="C62" s="30">
        <v>150000</v>
      </c>
      <c r="D62" s="31"/>
      <c r="E62" s="44"/>
      <c r="F62" s="31"/>
      <c r="G62" s="44"/>
      <c r="H62" s="30">
        <f t="shared" si="3"/>
        <v>0</v>
      </c>
      <c r="I62" s="36"/>
      <c r="J62" s="19">
        <f t="shared" si="2"/>
        <v>150000</v>
      </c>
    </row>
    <row r="63" spans="1:10" ht="15.75" thickBot="1" x14ac:dyDescent="0.3">
      <c r="A63" s="28"/>
      <c r="B63" s="29" t="s">
        <v>65</v>
      </c>
      <c r="C63" s="30">
        <v>150000</v>
      </c>
      <c r="D63" s="31"/>
      <c r="E63" s="44"/>
      <c r="F63" s="31"/>
      <c r="G63" s="44"/>
      <c r="H63" s="30">
        <f t="shared" si="3"/>
        <v>0</v>
      </c>
      <c r="I63" s="36"/>
      <c r="J63" s="19">
        <f t="shared" si="2"/>
        <v>150000</v>
      </c>
    </row>
    <row r="64" spans="1:10" ht="15.75" thickBot="1" x14ac:dyDescent="0.3">
      <c r="A64" s="28"/>
      <c r="B64" s="29" t="s">
        <v>66</v>
      </c>
      <c r="C64" s="30">
        <v>150000</v>
      </c>
      <c r="D64" s="31"/>
      <c r="E64" s="44"/>
      <c r="F64" s="31"/>
      <c r="G64" s="44"/>
      <c r="H64" s="30">
        <f t="shared" si="3"/>
        <v>0</v>
      </c>
      <c r="I64" s="36"/>
      <c r="J64" s="19">
        <f t="shared" si="2"/>
        <v>150000</v>
      </c>
    </row>
    <row r="65" spans="1:10" ht="15.75" thickBot="1" x14ac:dyDescent="0.3">
      <c r="A65" s="28"/>
      <c r="B65" s="29" t="s">
        <v>67</v>
      </c>
      <c r="C65" s="30">
        <v>150000</v>
      </c>
      <c r="D65" s="31"/>
      <c r="E65" s="44"/>
      <c r="F65" s="31"/>
      <c r="G65" s="44"/>
      <c r="H65" s="30">
        <f t="shared" si="3"/>
        <v>0</v>
      </c>
      <c r="I65" s="36"/>
      <c r="J65" s="19">
        <f t="shared" si="2"/>
        <v>150000</v>
      </c>
    </row>
    <row r="66" spans="1:10" ht="15.75" thickBot="1" x14ac:dyDescent="0.3">
      <c r="A66" s="28"/>
      <c r="B66" s="29" t="s">
        <v>68</v>
      </c>
      <c r="C66" s="30">
        <v>150000</v>
      </c>
      <c r="D66" s="31"/>
      <c r="E66" s="44"/>
      <c r="F66" s="31"/>
      <c r="G66" s="44"/>
      <c r="H66" s="30">
        <f t="shared" si="3"/>
        <v>0</v>
      </c>
      <c r="I66" s="36"/>
      <c r="J66" s="19">
        <f t="shared" si="2"/>
        <v>150000</v>
      </c>
    </row>
    <row r="67" spans="1:10" ht="15.75" thickBot="1" x14ac:dyDescent="0.3">
      <c r="A67" s="28"/>
      <c r="B67" s="29" t="s">
        <v>69</v>
      </c>
      <c r="C67" s="33">
        <v>150000</v>
      </c>
      <c r="D67" s="31"/>
      <c r="E67" s="44"/>
      <c r="F67" s="31"/>
      <c r="G67" s="44"/>
      <c r="H67" s="33">
        <f t="shared" si="3"/>
        <v>0</v>
      </c>
      <c r="I67" s="36"/>
      <c r="J67" s="19">
        <f t="shared" si="2"/>
        <v>150000</v>
      </c>
    </row>
    <row r="68" spans="1:10" ht="15.75" thickBot="1" x14ac:dyDescent="0.3">
      <c r="A68" s="169" t="s">
        <v>72</v>
      </c>
      <c r="B68" s="170"/>
      <c r="C68" s="51"/>
      <c r="D68" s="2"/>
      <c r="E68" s="48"/>
      <c r="F68" s="169" t="s">
        <v>71</v>
      </c>
      <c r="G68" s="170"/>
      <c r="H68" s="51"/>
    </row>
    <row r="69" spans="1:10" ht="15.75" thickBot="1" x14ac:dyDescent="0.3">
      <c r="A69" s="2"/>
      <c r="B69" s="2"/>
      <c r="C69" s="2"/>
      <c r="D69" s="2"/>
      <c r="E69" s="48"/>
      <c r="F69" s="179" t="s">
        <v>73</v>
      </c>
      <c r="G69" s="180"/>
      <c r="H69" s="51"/>
      <c r="J69" s="52"/>
    </row>
    <row r="71" spans="1:10" ht="15.75" thickBot="1" x14ac:dyDescent="0.3"/>
    <row r="72" spans="1:10" ht="15.75" thickBot="1" x14ac:dyDescent="0.3">
      <c r="A72" s="126" t="s">
        <v>12</v>
      </c>
      <c r="B72" s="128" t="s">
        <v>36</v>
      </c>
      <c r="C72" s="128" t="s">
        <v>37</v>
      </c>
      <c r="D72" s="129" t="s">
        <v>0</v>
      </c>
      <c r="E72" s="42"/>
      <c r="F72" s="171" t="s">
        <v>153</v>
      </c>
      <c r="G72" s="172"/>
    </row>
    <row r="73" spans="1:10" ht="15.75" thickBot="1" x14ac:dyDescent="0.3">
      <c r="A73" s="24"/>
      <c r="B73" s="25"/>
      <c r="C73" s="25"/>
      <c r="D73" s="26"/>
      <c r="E73" s="43"/>
      <c r="F73" s="23"/>
      <c r="G73" s="45"/>
    </row>
    <row r="74" spans="1:10" ht="15.75" thickBot="1" x14ac:dyDescent="0.3">
      <c r="A74" s="126" t="s">
        <v>4</v>
      </c>
      <c r="B74" s="128" t="s">
        <v>13</v>
      </c>
      <c r="C74" s="128" t="s">
        <v>1</v>
      </c>
      <c r="D74" s="128" t="s">
        <v>14</v>
      </c>
      <c r="E74" s="130" t="s">
        <v>0</v>
      </c>
      <c r="F74" s="128" t="s">
        <v>3</v>
      </c>
      <c r="G74"/>
    </row>
    <row r="75" spans="1:10" x14ac:dyDescent="0.25">
      <c r="A75" s="28"/>
      <c r="B75" s="29"/>
      <c r="C75" s="30"/>
      <c r="D75" s="31"/>
      <c r="E75" s="44"/>
      <c r="F75" s="31"/>
      <c r="G75"/>
    </row>
    <row r="76" spans="1:10" x14ac:dyDescent="0.25">
      <c r="A76" s="28"/>
      <c r="B76" s="29"/>
      <c r="C76" s="30"/>
      <c r="D76" s="31"/>
      <c r="E76" s="44"/>
      <c r="F76" s="31"/>
      <c r="G76"/>
    </row>
    <row r="77" spans="1:10" x14ac:dyDescent="0.25">
      <c r="A77" s="28"/>
      <c r="B77" s="29"/>
      <c r="C77" s="30"/>
      <c r="D77" s="31"/>
      <c r="E77" s="44"/>
      <c r="F77" s="31"/>
      <c r="G77"/>
    </row>
    <row r="78" spans="1:10" x14ac:dyDescent="0.25">
      <c r="A78" s="28"/>
      <c r="B78" s="29"/>
      <c r="C78" s="30"/>
      <c r="D78" s="31"/>
      <c r="E78" s="44"/>
      <c r="F78" s="31"/>
      <c r="G78"/>
    </row>
    <row r="79" spans="1:10" x14ac:dyDescent="0.25">
      <c r="A79" s="28"/>
      <c r="B79" s="29"/>
      <c r="C79" s="30"/>
      <c r="D79" s="31"/>
      <c r="E79" s="44"/>
      <c r="F79" s="30"/>
      <c r="G79"/>
    </row>
    <row r="80" spans="1:10" x14ac:dyDescent="0.25">
      <c r="A80" s="28"/>
      <c r="B80" s="29"/>
      <c r="C80" s="30"/>
      <c r="D80" s="31"/>
      <c r="E80" s="44"/>
      <c r="F80" s="30"/>
      <c r="G80"/>
    </row>
    <row r="81" spans="1:7" x14ac:dyDescent="0.25">
      <c r="A81" s="28"/>
      <c r="B81" s="29"/>
      <c r="C81" s="30"/>
      <c r="D81" s="31"/>
      <c r="E81" s="44"/>
      <c r="F81" s="31"/>
      <c r="G81"/>
    </row>
    <row r="82" spans="1:7" x14ac:dyDescent="0.25">
      <c r="A82" s="28"/>
      <c r="B82" s="29"/>
      <c r="C82" s="30"/>
      <c r="D82" s="31"/>
      <c r="E82" s="44"/>
      <c r="F82" s="31"/>
      <c r="G82"/>
    </row>
    <row r="83" spans="1:7" x14ac:dyDescent="0.25">
      <c r="A83" s="28"/>
      <c r="B83" s="29"/>
      <c r="C83" s="30"/>
      <c r="D83" s="31"/>
      <c r="E83" s="44"/>
      <c r="F83" s="31"/>
      <c r="G83"/>
    </row>
    <row r="84" spans="1:7" ht="15.75" thickBot="1" x14ac:dyDescent="0.3">
      <c r="A84" s="28"/>
      <c r="B84" s="29"/>
      <c r="C84" s="33"/>
      <c r="D84" s="31"/>
      <c r="E84" s="44"/>
      <c r="F84" s="31"/>
      <c r="G84"/>
    </row>
    <row r="85" spans="1:7" ht="15.75" thickBot="1" x14ac:dyDescent="0.3">
      <c r="C85" s="38">
        <f>SUM(C75:C84)</f>
        <v>0</v>
      </c>
      <c r="D85" s="40"/>
    </row>
  </sheetData>
  <mergeCells count="6">
    <mergeCell ref="F72:G72"/>
    <mergeCell ref="A1:K1"/>
    <mergeCell ref="A68:B68"/>
    <mergeCell ref="F68:G68"/>
    <mergeCell ref="F69:G69"/>
    <mergeCell ref="F13:G13"/>
  </mergeCells>
  <conditionalFormatting sqref="C5:K11">
    <cfRule type="expression" dxfId="17" priority="16">
      <formula>#REF!="NO CONCRETADO"</formula>
    </cfRule>
    <cfRule type="expression" dxfId="16" priority="17">
      <formula>#REF!="AVANZANDO"</formula>
    </cfRule>
    <cfRule type="expression" dxfId="15" priority="18">
      <formula>#REF!="COMPLETO"</formula>
    </cfRule>
  </conditionalFormatting>
  <conditionalFormatting sqref="L5:L11">
    <cfRule type="expression" dxfId="14" priority="13">
      <formula>#REF!="NO CONCRETADO"</formula>
    </cfRule>
    <cfRule type="expression" dxfId="13" priority="14">
      <formula>#REF!="AVANZANDO"</formula>
    </cfRule>
    <cfRule type="expression" dxfId="12" priority="15">
      <formula>#REF!="COMPLETO"</formula>
    </cfRule>
  </conditionalFormatting>
  <conditionalFormatting sqref="J16:J67 J69">
    <cfRule type="expression" dxfId="11" priority="7">
      <formula>#REF!="NO CONCRETADO"</formula>
    </cfRule>
    <cfRule type="expression" dxfId="10" priority="8">
      <formula>#REF!="AVANZANDO"</formula>
    </cfRule>
    <cfRule type="expression" dxfId="9" priority="9">
      <formula>#REF!="COMPLETO"</formula>
    </cfRule>
  </conditionalFormatting>
  <conditionalFormatting sqref="A16:H67">
    <cfRule type="expression" dxfId="8" priority="4">
      <formula>$J16="NO CONCRETADO"</formula>
    </cfRule>
    <cfRule type="expression" dxfId="7" priority="5">
      <formula>$J16="AVANZANDO"</formula>
    </cfRule>
    <cfRule type="expression" dxfId="6" priority="6">
      <formula>$J16="COMPLETO"</formula>
    </cfRule>
  </conditionalFormatting>
  <conditionalFormatting sqref="A75:F84">
    <cfRule type="expression" dxfId="5" priority="1">
      <formula>$J75="NO CONCRETADO"</formula>
    </cfRule>
    <cfRule type="expression" dxfId="4" priority="2">
      <formula>$J75="AVANZANDO"</formula>
    </cfRule>
    <cfRule type="expression" dxfId="3" priority="3">
      <formula>$J75="COMPLETO"</formula>
    </cfRule>
  </conditionalFormatting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PANEL</vt:lpstr>
      <vt:lpstr>Miraflores G-33</vt:lpstr>
      <vt:lpstr>Miraflores G 52-54</vt:lpstr>
      <vt:lpstr>Kiwiland</vt:lpstr>
      <vt:lpstr>a</vt:lpstr>
      <vt:lpstr>Las Americas</vt:lpstr>
      <vt:lpstr>MEMO</vt:lpstr>
      <vt:lpstr>Kiwiland!Área_de_impresión</vt:lpstr>
      <vt:lpstr>'Las Americas'!Área_de_impresión</vt:lpstr>
      <vt:lpstr>CECIA</vt:lpstr>
      <vt:lpstr>PAGADO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</dc:creator>
  <cp:lastModifiedBy>jesus</cp:lastModifiedBy>
  <cp:lastPrinted>2020-11-06T19:02:34Z</cp:lastPrinted>
  <dcterms:created xsi:type="dcterms:W3CDTF">2020-10-25T21:38:13Z</dcterms:created>
  <dcterms:modified xsi:type="dcterms:W3CDTF">2020-11-22T00:56:07Z</dcterms:modified>
</cp:coreProperties>
</file>